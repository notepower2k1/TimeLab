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Báo cáo công việc" sheetId="1" r:id="rId1"/>
    <sheet name="Chấm điểm KP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<sst xmlns="http://schemas.openxmlformats.org/spreadsheetml/2006/main" count="562" uniqueCount="174">
  <si>
    <t>Tuần 03/08/2026 - 07/08/2026</t>
  </si>
  <si>
    <t>Thống Kê</t>
  </si>
  <si>
    <t>Chat App All Tasks</t>
  </si>
  <si>
    <t xml:space="preserve">Tổng số task </t>
  </si>
  <si>
    <t>Tasks</t>
  </si>
  <si>
    <t>Start date</t>
  </si>
  <si>
    <t>Due date</t>
  </si>
  <si>
    <t>Closed date</t>
  </si>
  <si>
    <t>Estimate (h)</t>
  </si>
  <si>
    <t>Spent (h)</t>
  </si>
  <si>
    <t>Số lần bị reopen</t>
  </si>
  <si>
    <t>Loại task</t>
  </si>
  <si>
    <t>Tiến độ</t>
  </si>
  <si>
    <t xml:space="preserve">Tổng số task kế hoạch </t>
  </si>
  <si>
    <t>https://gitlab.widosoft.com/wido-chat-app-ms/chat-app-all-tasks/-/work_items/1901</t>
  </si>
  <si>
    <t>Kế hoạch</t>
  </si>
  <si>
    <t>Đúng hạn</t>
  </si>
  <si>
    <t xml:space="preserve">Tổng số task phát sinh </t>
  </si>
  <si>
    <t>https://gitlab.widosoft.com/wido-chat-app-ms/chat-app-all-tasks/-/work_items/1902</t>
  </si>
  <si>
    <t>Tổng thời gian làm việc theo lịch công ty (h)</t>
  </si>
  <si>
    <t>https://gitlab.widosoft.com/wido-chat-app-ms/chat-app-all-tasks/-/work_items/1906</t>
  </si>
  <si>
    <t>Tổng thời gian Estimate (h)</t>
  </si>
  <si>
    <t>https://gitlab.widosoft.com/wido-chat-app-ms/chat-app-all-tasks/-/work_items/1920</t>
  </si>
  <si>
    <t>Tổng thời gian Spent time (h)</t>
  </si>
  <si>
    <t>https://gitlab.widosoft.com/wido-chat-app-ms/chat-app-all-tasks/-/work_items/1921</t>
  </si>
  <si>
    <t xml:space="preserve">Tổng thời gian Spent time (h) của task kế hoạch </t>
  </si>
  <si>
    <t>https://gitlab.widosoft.com/wido-chat-app-ms/chat-app-all-tasks/-/work_items/1929</t>
  </si>
  <si>
    <t xml:space="preserve">Tổng thời gian Spent time (h) của task phát sinh </t>
  </si>
  <si>
    <t>Số lượng task chưa có Start date</t>
  </si>
  <si>
    <t>Số lượng task chưa có Due date</t>
  </si>
  <si>
    <t xml:space="preserve">Số lượng task chưa có Estimate </t>
  </si>
  <si>
    <t>Ai Chat Service</t>
  </si>
  <si>
    <t>Số lượng task chưa có Spent time</t>
  </si>
  <si>
    <t xml:space="preserve">Tổng số task đúng hạn </t>
  </si>
  <si>
    <t>https://gitlab.widosoft.com/wido-ai-chat/ai-chat-service/-/work_items/560</t>
  </si>
  <si>
    <t xml:space="preserve">Tổng số task trễ hạn </t>
  </si>
  <si>
    <t xml:space="preserve">Tổng số task không bị reopen </t>
  </si>
  <si>
    <t xml:space="preserve">Tổng số task có bị reopen </t>
  </si>
  <si>
    <t>Ms System</t>
  </si>
  <si>
    <t>Tỉ lệ (%)</t>
  </si>
  <si>
    <t>https://gitlab.widosoft.com/wido-chat-app-ms/ms-system/neighbor-friend-app-new/-/work_items/632</t>
  </si>
  <si>
    <t xml:space="preserve">Số lượng task chưa có Start date / Tổng số task </t>
  </si>
  <si>
    <t>https://gitlab.widosoft.com/wido-chat-app-ms/ms-system/love-matchile-app/-/work_items/480</t>
  </si>
  <si>
    <t xml:space="preserve">Số lượng task chưa có Due date / Tổng số task </t>
  </si>
  <si>
    <t>https://gitlab.widosoft.com/wido-chat-app-ms/ms-system/mature-partner-app/-/work_items/318</t>
  </si>
  <si>
    <t xml:space="preserve">Số lượng task chưa có Estimate / Tổng số task </t>
  </si>
  <si>
    <t>https://gitlab.widosoft.com/wido-chat-app-ms/ms-system/mature-partner-app/-/work_items/323</t>
  </si>
  <si>
    <t xml:space="preserve">Số lượng task chưa có Spent time / Tổng số task </t>
  </si>
  <si>
    <t>https://gitlab.widosoft.com/wido-chat-app-ms/ms-system/mature-partner-app/-/work_items/324</t>
  </si>
  <si>
    <t xml:space="preserve">Tổng số task đúng hạn / Tổng số task </t>
  </si>
  <si>
    <t>https://gitlab.widosoft.com/wido-chat-app-ms/ms-system/neighbor-pairs/-/work_items/335</t>
  </si>
  <si>
    <t>Tổng số task trễ hạn / Tổng số task</t>
  </si>
  <si>
    <t>https://gitlab.widosoft.com/wido-chat-app-ms/ms-system/neighbor-pairs/-/work_items/348</t>
  </si>
  <si>
    <t>Tổng số task không bị reopen / Tổng số task</t>
  </si>
  <si>
    <t>https://gitlab.widosoft.com/wido-chat-app-ms/ms-system/mature-partner-app/-/work_items/326</t>
  </si>
  <si>
    <t xml:space="preserve">Tổng số task có bị reopen / Tổng số task </t>
  </si>
  <si>
    <t>https://gitlab.widosoft.com/wido-chat-app-ms/ms-system/love-matchile-app/-/work_items/484</t>
  </si>
  <si>
    <t xml:space="preserve">Tổng số task phát sinh / Tổng số task </t>
  </si>
  <si>
    <t>Tổng thời gian Spent time / Tổng thời gian làm việc theo lịch công ty</t>
  </si>
  <si>
    <t xml:space="preserve">Tổng thời gian Spent time / Tổng thời gian Estimate </t>
  </si>
  <si>
    <t>Tổng thời gian Spent time của task kế hoạch / Tổng thời gian Spent time</t>
  </si>
  <si>
    <t>Ss System New</t>
  </si>
  <si>
    <t>Tổng thời gian Spent time của task phát sinh / Tổng thời gian Spent time</t>
  </si>
  <si>
    <t>https://gitlab.widosoft.com/wido-chat-app-ms/ss-system-new/ss-new-talksy-app/-/work_items/698</t>
  </si>
  <si>
    <t>Wido Ai General</t>
  </si>
  <si>
    <t>https://gitlab.widosoft.com/wido-ai-chat/wido-ai-general/-/work_items/28</t>
  </si>
  <si>
    <t>Ai Chat Service 3rd Party</t>
  </si>
  <si>
    <t>https://gitlab.widosoft.com/wido-ai-chat/ai-chat-service-3rd-party/-/work_items/327</t>
  </si>
  <si>
    <t>https://gitlab.widosoft.com/wido-ai-chat/ai-chat-service-3rd-party/-/work_items/328</t>
  </si>
  <si>
    <t>Tuần 10/08/2026 - 14/08/2026</t>
  </si>
  <si>
    <t>https://gitlab.widosoft.com/wido-chat-app-ms/ms-system/neighbor-dating-chat/-/work_items/506</t>
  </si>
  <si>
    <t>https://gitlab.widosoft.com/wido-chat-app-ms/ms-system/love-matchile-app/-/work_items/492</t>
  </si>
  <si>
    <t>14/08/2026</t>
  </si>
  <si>
    <t>https://gitlab.widosoft.com/wido-chat-app-ms/chat-app-all-tasks/-/work_items/1938</t>
  </si>
  <si>
    <t>https://gitlab.widosoft.com/wido-chat-app-ms/chat-app-all-tasks/-/work_items/1939</t>
  </si>
  <si>
    <t>https://gitlab.widosoft.com/wido-chat-app-ms/chat-app-all-tasks/-/work_items/1944</t>
  </si>
  <si>
    <t>https://gitlab.widosoft.com/wido-chat-app-ms/chat-app-all-tasks/-/work_items/1947</t>
  </si>
  <si>
    <t>https://gitlab.widosoft.com/wido-chat-app-ms/chat-app-all-tasks/-/work_items/1953</t>
  </si>
  <si>
    <t>13/08/2026</t>
  </si>
  <si>
    <t>https://gitlab.widosoft.com/wido-chat-app-ms/chat-app-all-tasks/-/work_items/1954</t>
  </si>
  <si>
    <t>https://gitlab.widosoft.com/wido-ai-chat/wido-ai-general/-/work_items/29</t>
  </si>
  <si>
    <t>Tuần 17/08/2026 - 21/08/2026</t>
  </si>
  <si>
    <t>https://gitlab.widosoft.com/wido-chat-app-ms/chat-app-all-tasks/-/work_items/1967</t>
  </si>
  <si>
    <t>17/08/2026</t>
  </si>
  <si>
    <t>https://gitlab.widosoft.com/wido-chat-app-ms/chat-app-all-tasks/-/work_items/1968</t>
  </si>
  <si>
    <t>https://gitlab.widosoft.com/wido-chat-app-ms/chat-app-all-tasks/-/work_items/1980</t>
  </si>
  <si>
    <t>19/08/2026</t>
  </si>
  <si>
    <t>https://gitlab.widosoft.com/wido-chat-app-ms/chat-app-all-tasks/-/work_items/1984</t>
  </si>
  <si>
    <t>20/08/2026</t>
  </si>
  <si>
    <t>https://gitlab.widosoft.com/wido-chat-app-ms/ms-system/love-matchile-app/-/work_items/495</t>
  </si>
  <si>
    <t>https://gitlab.widosoft.com/wido-chat-app-ms/ms-system/mature-partner-app/-/work_items/348</t>
  </si>
  <si>
    <t>18/08/2026</t>
  </si>
  <si>
    <t>https://gitlab.widosoft.com/wido-chat-app-ms/ms-system/mature-partner-app/-/work_items/349</t>
  </si>
  <si>
    <t>https://gitlab.widosoft.com/wido-chat-app-ms/ms-system/love-matchile-app/-/work_items/499</t>
  </si>
  <si>
    <t>https://gitlab.widosoft.com/wido-chat-app-ms/ms-system/neighbor-friend-app-new/-/work_items/659</t>
  </si>
  <si>
    <t>https://gitlab.widosoft.com/wido-chat-app-ms/ms-system/quick-love/-/work_items/63</t>
  </si>
  <si>
    <t>https://gitlab.widosoft.com/wido-ai-chat/ai-chat-service/-/work_items/564</t>
  </si>
  <si>
    <t>https://gitlab.widosoft.com/wido-ai-chat/ai-chat-service/-/work_items/566</t>
  </si>
  <si>
    <t>https://gitlab.widosoft.com/wido-ai-chat/wido-ai-general/-/work_items/38</t>
  </si>
  <si>
    <t>21/08/2026</t>
  </si>
  <si>
    <t>Tuần 24/08/2026 - 28/08/2026</t>
  </si>
  <si>
    <t>https://gitlab.widosoft.com/wido-ai-chat/wido-ai-general/-/work_items/40</t>
  </si>
  <si>
    <t>25/08/2026</t>
  </si>
  <si>
    <t>28/08/2026</t>
  </si>
  <si>
    <t>https://gitlab.widosoft.com/wido-chat-app-ms/chat-app-all-tasks/-/work_items/1989</t>
  </si>
  <si>
    <t>24/08/2026</t>
  </si>
  <si>
    <t>https://gitlab.widosoft.com/wido-chat-app-ms/chat-app-all-tasks/-/work_items/1990</t>
  </si>
  <si>
    <t>https://gitlab.widosoft.com/wido-chat-app-ms/chat-app-all-tasks/-/work_items/2000</t>
  </si>
  <si>
    <t>26/08/2026</t>
  </si>
  <si>
    <t>https://gitlab.widosoft.com/wido-chat-app-ms/chat-app-all-tasks/-/work_items/2001</t>
  </si>
  <si>
    <t>27/08/2026</t>
  </si>
  <si>
    <t>https://gitlab.widosoft.com/wido-chat-app-ms/ms-system/quick-love/-/work_items/65</t>
  </si>
  <si>
    <t>https://gitlab.widosoft.com/wido-chat-app-ms/ms-system/love-friend-android/-/work_items/347</t>
  </si>
  <si>
    <t>https://gitlab.widosoft.com/wido-chat-app-ms/ms-system/neighbor-pairs/-/work_items/352</t>
  </si>
  <si>
    <t>Phát sinh</t>
  </si>
  <si>
    <t>https://gitlab.widosoft.com/wido-ai-chat/ai-chat-service/-/work_items/570</t>
  </si>
  <si>
    <t>https://gitlab.widosoft.com/wido-ai-chat/ai-chat-service/-/work_items/573</t>
  </si>
  <si>
    <t>Tuần 31/08/2026</t>
  </si>
  <si>
    <t>https://gitlab.widosoft.com/wido-chat-app-ms/chat-app-all-tasks/-/work_items/2007</t>
  </si>
  <si>
    <t>31/08/2026</t>
  </si>
  <si>
    <t>https://gitlab.widosoft.com/wido-chat-app-ms/ms-system/love-friend-android/-/work_items/350</t>
  </si>
  <si>
    <t>https://gitlab.widosoft.com/wido-chat-app-ms/ms-system/neighbor-pairs/-/work_items/353</t>
  </si>
  <si>
    <t>DANH SÁCH MERGE REQUEST</t>
  </si>
  <si>
    <t>https://gitlab.widosoft.com/wido-ai-chat/ai-chat-service/-/merge_requests/181</t>
  </si>
  <si>
    <t>https://gitlab.widosoft.com/wido-chat-app-ms/wido-lovey03-api/-/merge_requests/879</t>
  </si>
  <si>
    <t>https://gitlab.widosoft.com/wido-ai-chat/ai-chat-service/-/merge_requests/183</t>
  </si>
  <si>
    <t>BẢNG KPI ĐÁNH GIÁ HIỆU QUẢ CÔNG VIỆC</t>
  </si>
  <si>
    <r>
      <rPr>
        <b/>
        <sz val="10"/>
        <color theme="1"/>
        <rFont val="Times New Roman"/>
        <charset val="134"/>
      </rPr>
      <t>Chu kỳ đánh giá: hàng tháng (</t>
    </r>
    <r>
      <rPr>
        <b/>
        <sz val="10"/>
        <color rgb="FF0000FF"/>
        <rFont val="Times New Roman"/>
        <charset val="134"/>
      </rPr>
      <t>tuy nhiên file này là thử nghiệm nên đang chấm tuần</t>
    </r>
    <r>
      <rPr>
        <b/>
        <sz val="10"/>
        <color theme="1"/>
        <rFont val="Times New Roman"/>
        <charset val="134"/>
      </rPr>
      <t>)</t>
    </r>
  </si>
  <si>
    <t>Cách chấm điểm: Mỗi tiêu chí có điểm tối đa là 5.</t>
  </si>
  <si>
    <t>Mức điểm KPI</t>
  </si>
  <si>
    <t>Đánh giá</t>
  </si>
  <si>
    <t>Chế độ thưởng/phạt hằng tháng</t>
  </si>
  <si>
    <t>4,5 - 5</t>
  </si>
  <si>
    <t>Xuất sắc</t>
  </si>
  <si>
    <r>
      <rPr>
        <sz val="10"/>
        <color theme="1"/>
        <rFont val="Times New Roman"/>
        <charset val="134"/>
      </rPr>
      <t xml:space="preserve">Được xếp loại đánh giá </t>
    </r>
    <r>
      <rPr>
        <sz val="10"/>
        <color rgb="FF0000FF"/>
        <rFont val="Times New Roman"/>
        <charset val="134"/>
      </rPr>
      <t>X</t>
    </r>
    <r>
      <rPr>
        <sz val="10"/>
        <color theme="1"/>
        <rFont val="Times New Roman"/>
        <charset val="134"/>
      </rPr>
      <t>u</t>
    </r>
    <r>
      <rPr>
        <sz val="10"/>
        <color rgb="FF0000FF"/>
        <rFont val="Times New Roman"/>
        <charset val="134"/>
      </rPr>
      <t>ất sắc</t>
    </r>
    <r>
      <rPr>
        <sz val="10"/>
        <color theme="1"/>
        <rFont val="Times New Roman"/>
        <charset val="134"/>
      </rPr>
      <t xml:space="preserve"> trong tháng đó.</t>
    </r>
  </si>
  <si>
    <t>4 - 4,49</t>
  </si>
  <si>
    <t>Tốt</t>
  </si>
  <si>
    <r>
      <rPr>
        <sz val="10"/>
        <color theme="1"/>
        <rFont val="Times New Roman"/>
        <charset val="134"/>
      </rPr>
      <t xml:space="preserve">Được xếp loại đánh giá </t>
    </r>
    <r>
      <rPr>
        <sz val="10"/>
        <color rgb="FF0000FF"/>
        <rFont val="Times New Roman"/>
        <charset val="134"/>
      </rPr>
      <t>Tốt</t>
    </r>
    <r>
      <rPr>
        <sz val="10"/>
        <color theme="1"/>
        <rFont val="Times New Roman"/>
        <charset val="134"/>
      </rPr>
      <t xml:space="preserve"> trong tháng đó.</t>
    </r>
  </si>
  <si>
    <t>3,5 - 3,99</t>
  </si>
  <si>
    <t>Đạt yêu cầu</t>
  </si>
  <si>
    <t>Không có thưởng phạt.</t>
  </si>
  <si>
    <t>2,5 - 3,5</t>
  </si>
  <si>
    <t>Kém</t>
  </si>
  <si>
    <t>Bị cảnh cáo hoặc khiển trách. Có thể xem xét bị chuyển vị trí khác.</t>
  </si>
  <si>
    <t>&lt; 2,5</t>
  </si>
  <si>
    <t>Rất kém</t>
  </si>
  <si>
    <t>Bị phạt tài chính (5% lương tháng). Có thể xem xét bị chuyển vị trí khác hoặc bị chấm dứt hợp đồng.</t>
  </si>
  <si>
    <t>No</t>
  </si>
  <si>
    <t>Tiêu chí</t>
  </si>
  <si>
    <t>Chỉ số đo lường</t>
  </si>
  <si>
    <t>Cách đo lường</t>
  </si>
  <si>
    <t>Trọng số</t>
  </si>
  <si>
    <t>Số liệu thực tế</t>
  </si>
  <si>
    <t>Điểm (0-5)</t>
  </si>
  <si>
    <t>Thang điểm</t>
  </si>
  <si>
    <t>Thái độ 
(Đúng quy trình làm task)</t>
  </si>
  <si>
    <t>Dữ liệu từ hệ thống Gitlab</t>
  </si>
  <si>
    <t>≥ 80%</t>
  </si>
  <si>
    <t>50% - 79%</t>
  </si>
  <si>
    <t>30% - 49%</t>
  </si>
  <si>
    <t>10% - 29%</t>
  </si>
  <si>
    <t>&lt; 10%</t>
  </si>
  <si>
    <t>Số lượng task chưa có Start date / Tổng số task</t>
  </si>
  <si>
    <t>Khối lượng</t>
  </si>
  <si>
    <t>&lt; 70%</t>
  </si>
  <si>
    <t>70% - 79%</t>
  </si>
  <si>
    <t>80% - 89%</t>
  </si>
  <si>
    <t>90% - 99%</t>
  </si>
  <si>
    <t>≥ 100%</t>
  </si>
  <si>
    <t>Chất lượng</t>
  </si>
  <si>
    <t xml:space="preserve">KPI hiệu quả </t>
  </si>
  <si>
    <t>GIẢI TRÌNH
(Trình bày các nguyên nhân ảnh hưởng đến các thông số trên - nếu có)</t>
  </si>
  <si>
    <t>TỰ ĐÁNH GIÁ HIỆU QUẢ</t>
  </si>
  <si>
    <t>TỰ ĐÁNH GIÁ ĐIỂM CẦN CẢI THIỆN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</si>
</sst>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5">
    <font>
      <sz val="10"/>
      <color rgb="FF000000"/>
      <name val="Arial"/>
      <charset val="134"/>
      <scheme val="minor"/>
    </font>
    <font>
      <b/>
      <sz val="16"/>
      <color theme="1"/>
      <name val="Times New Roman"/>
      <charset val="134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name val="Arial"/>
      <charset val="134"/>
    </font>
    <font>
      <sz val="10"/>
      <color rgb="FF0000FF"/>
      <name val="Times New Roman"/>
      <charset val="134"/>
    </font>
    <font>
      <sz val="10"/>
      <color rgb="FFFF0000"/>
      <name val="Times New Roman"/>
      <charset val="134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b/>
      <i/>
      <sz val="12"/>
      <color theme="1"/>
      <name val="Times New Roman"/>
      <charset val="134"/>
    </font>
    <font>
      <sz val="11"/>
      <color theme="1"/>
      <name val="Arial"/>
      <charset val="134"/>
      <scheme val="minor"/>
    </font>
    <font>
      <sz val="12"/>
      <name val="Times New Roman"/>
      <charset val="134"/>
    </font>
    <font>
      <u/>
      <sz val="11"/>
      <color rgb="FF0000FF"/>
      <name val="Arial"/>
      <charset val="134"/>
      <scheme val="minor"/>
    </font>
    <font>
      <b/>
      <sz val="12"/>
      <color theme="1"/>
      <name val="Times New Roman"/>
      <charset val="134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0"/>
      <color rgb="FF0000FF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8" applyNumberFormat="0" applyAlignment="0" applyProtection="0">
      <alignment vertical="center"/>
    </xf>
    <xf numFmtId="0" fontId="25" fillId="7" borderId="17" applyNumberFormat="0" applyAlignment="0" applyProtection="0">
      <alignment vertical="center"/>
    </xf>
    <xf numFmtId="0" fontId="26" fillId="8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2" xfId="0" applyFont="1" applyBorder="1" applyAlignment="1"/>
    <xf numFmtId="0" fontId="3" fillId="3" borderId="3" xfId="0" applyFont="1" applyFill="1" applyBorder="1" applyAlignment="1">
      <alignment wrapText="1"/>
    </xf>
    <xf numFmtId="0" fontId="4" fillId="0" borderId="4" xfId="0" applyFont="1" applyBorder="1" applyAlignment="1"/>
    <xf numFmtId="0" fontId="2" fillId="0" borderId="1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2" fillId="0" borderId="5" xfId="0" applyFont="1" applyBorder="1"/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4" fillId="0" borderId="7" xfId="0" applyFont="1" applyBorder="1" applyAlignment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9" fontId="2" fillId="0" borderId="10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7" xfId="0" applyFont="1" applyBorder="1" applyAlignment="1">
      <alignment vertical="center"/>
    </xf>
    <xf numFmtId="0" fontId="4" fillId="0" borderId="8" xfId="0" applyFont="1" applyBorder="1" applyAlignment="1"/>
    <xf numFmtId="0" fontId="4" fillId="0" borderId="11" xfId="0" applyFont="1" applyBorder="1" applyAlignment="1"/>
    <xf numFmtId="0" fontId="2" fillId="0" borderId="7" xfId="0" applyFont="1" applyBorder="1" applyAlignment="1">
      <alignment horizontal="right" vertical="center"/>
    </xf>
    <xf numFmtId="0" fontId="4" fillId="0" borderId="6" xfId="0" applyFont="1" applyBorder="1" applyAlignment="1"/>
    <xf numFmtId="0" fontId="2" fillId="0" borderId="8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0" fontId="2" fillId="0" borderId="11" xfId="0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/>
    <xf numFmtId="0" fontId="7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9" fillId="0" borderId="0" xfId="0" applyFont="1"/>
    <xf numFmtId="0" fontId="10" fillId="0" borderId="0" xfId="0" applyFont="1"/>
    <xf numFmtId="0" fontId="11" fillId="0" borderId="0" xfId="0" applyFont="1" applyFill="1" applyAlignment="1">
      <alignment horizontal="left" vertical="top"/>
    </xf>
    <xf numFmtId="0" fontId="10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9" fillId="4" borderId="1" xfId="0" applyFont="1" applyFill="1" applyBorder="1" applyAlignment="1">
      <alignment horizontal="center"/>
    </xf>
    <xf numFmtId="0" fontId="13" fillId="0" borderId="2" xfId="0" applyFont="1" applyBorder="1" applyAlignment="1"/>
    <xf numFmtId="0" fontId="9" fillId="2" borderId="3" xfId="0" applyFont="1" applyFill="1" applyBorder="1"/>
    <xf numFmtId="0" fontId="9" fillId="0" borderId="3" xfId="0" applyFont="1" applyBorder="1"/>
    <xf numFmtId="0" fontId="9" fillId="4" borderId="12" xfId="0" applyFont="1" applyFill="1" applyBorder="1"/>
    <xf numFmtId="0" fontId="9" fillId="4" borderId="12" xfId="0" applyFont="1" applyFill="1" applyBorder="1" applyAlignment="1"/>
    <xf numFmtId="0" fontId="14" fillId="0" borderId="12" xfId="6" applyFill="1" applyBorder="1" applyAlignment="1"/>
    <xf numFmtId="58" fontId="10" fillId="0" borderId="12" xfId="0" applyNumberFormat="1" applyFont="1" applyFill="1" applyBorder="1" applyAlignment="1"/>
    <xf numFmtId="0" fontId="10" fillId="0" borderId="12" xfId="0" applyFont="1" applyFill="1" applyBorder="1" applyAlignment="1">
      <alignment vertical="center"/>
    </xf>
    <xf numFmtId="0" fontId="10" fillId="0" borderId="12" xfId="0" applyFont="1" applyFill="1" applyBorder="1" applyAlignment="1"/>
    <xf numFmtId="0" fontId="10" fillId="0" borderId="3" xfId="0" applyFont="1" applyBorder="1"/>
    <xf numFmtId="0" fontId="15" fillId="0" borderId="0" xfId="0" applyFont="1"/>
    <xf numFmtId="0" fontId="10" fillId="0" borderId="13" xfId="0" applyFont="1" applyBorder="1"/>
    <xf numFmtId="178" fontId="9" fillId="0" borderId="3" xfId="0" applyNumberFormat="1" applyFont="1" applyBorder="1"/>
    <xf numFmtId="0" fontId="9" fillId="0" borderId="0" xfId="0" applyFont="1" applyFill="1" applyAlignment="1"/>
    <xf numFmtId="0" fontId="12" fillId="0" borderId="12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gitlab.widosoft.com/wido-chat-app-ms/chat-app-all-tasks/-/work_items/1901" TargetMode="External"/><Relationship Id="rId3" Type="http://schemas.openxmlformats.org/officeDocument/2006/relationships/hyperlink" Target="https://gitlab.widosoft.com/wido-chat-app-ms/ms-system/neighbor-pairs/-/work_items/353" TargetMode="External"/><Relationship Id="rId2" Type="http://schemas.openxmlformats.org/officeDocument/2006/relationships/hyperlink" Target="https://gitlab.widosoft.com/wido-chat-app-ms/ms-system/love-friend-android/-/work_items/350" TargetMode="External"/><Relationship Id="rId1" Type="http://schemas.openxmlformats.org/officeDocument/2006/relationships/hyperlink" Target="https://gitlab.widosoft.com/wido-chat-app-ms/chat-app-all-tasks/-/work_items/20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016"/>
  <sheetViews>
    <sheetView tabSelected="1" zoomScale="85" zoomScaleNormal="85" workbookViewId="0">
      <selection activeCell="H2" sqref="H2"/>
    </sheetView>
  </sheetViews>
  <sheetFormatPr defaultColWidth="12.7142857142857" defaultRowHeight="15" customHeight="1"/>
  <cols>
    <col min="1" max="1" width="12.7142857142857" style="46"/>
    <col min="2" max="2" width="104.428571428571" style="46" customWidth="1"/>
    <col min="3" max="7" width="12.7142857142857" style="46"/>
    <col min="8" max="8" width="13.1428571428571" style="46" customWidth="1"/>
    <col min="9" max="10" width="13.7142857142857" style="46" customWidth="1"/>
    <col min="11" max="11" width="14.7142857142857" style="46" customWidth="1"/>
    <col min="12" max="12" width="57.1428571428571" style="46" customWidth="1"/>
    <col min="13" max="16384" width="12.7142857142857" style="46"/>
  </cols>
  <sheetData>
    <row r="1" ht="15.75" customHeight="1" spans="1:26">
      <c r="A1" s="45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15.75" customHeight="1" spans="1:26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15.75" customHeight="1" spans="1:26">
      <c r="A3" s="48"/>
      <c r="B3" s="49"/>
      <c r="C3" s="49"/>
      <c r="D3" s="49"/>
      <c r="E3" s="49"/>
      <c r="F3" s="49"/>
      <c r="G3" s="49"/>
      <c r="H3" s="49"/>
      <c r="I3" s="49"/>
      <c r="J3" s="49"/>
      <c r="K3" s="49"/>
      <c r="L3" s="50" t="s">
        <v>1</v>
      </c>
      <c r="M3" s="51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5.75" customHeight="1" spans="1:26">
      <c r="A4" s="45"/>
      <c r="B4" s="49" t="s">
        <v>2</v>
      </c>
      <c r="C4" s="49"/>
      <c r="D4" s="49"/>
      <c r="E4" s="49"/>
      <c r="F4" s="49"/>
      <c r="G4" s="49"/>
      <c r="H4" s="49"/>
      <c r="I4" s="49"/>
      <c r="J4" s="49"/>
      <c r="K4" s="49"/>
      <c r="L4" s="52" t="s">
        <v>3</v>
      </c>
      <c r="M4" s="53">
        <v>55</v>
      </c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15.75" customHeight="1" spans="1:26">
      <c r="A5" s="48"/>
      <c r="B5" s="54" t="s">
        <v>4</v>
      </c>
      <c r="C5" s="54" t="s">
        <v>5</v>
      </c>
      <c r="D5" s="54" t="s">
        <v>6</v>
      </c>
      <c r="E5" s="54" t="s">
        <v>7</v>
      </c>
      <c r="F5" s="54" t="s">
        <v>8</v>
      </c>
      <c r="G5" s="54" t="s">
        <v>9</v>
      </c>
      <c r="H5" s="54" t="s">
        <v>10</v>
      </c>
      <c r="I5" s="55" t="s">
        <v>11</v>
      </c>
      <c r="J5" s="55" t="s">
        <v>12</v>
      </c>
      <c r="K5" s="49"/>
      <c r="L5" s="52" t="s">
        <v>13</v>
      </c>
      <c r="M5" s="53">
        <v>54</v>
      </c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5.75" customHeight="1" spans="1:26">
      <c r="A6" s="48"/>
      <c r="B6" s="56" t="s">
        <v>14</v>
      </c>
      <c r="C6" s="57">
        <v>46089</v>
      </c>
      <c r="D6" s="57">
        <v>46089</v>
      </c>
      <c r="E6" s="57">
        <v>46089</v>
      </c>
      <c r="F6" s="58">
        <v>2</v>
      </c>
      <c r="G6" s="58">
        <v>2</v>
      </c>
      <c r="H6" s="58">
        <v>0</v>
      </c>
      <c r="I6" s="59" t="s">
        <v>15</v>
      </c>
      <c r="J6" s="58" t="s">
        <v>16</v>
      </c>
      <c r="K6" s="49"/>
      <c r="L6" s="53" t="s">
        <v>17</v>
      </c>
      <c r="M6" s="53">
        <v>1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5.75" customHeight="1" spans="1:26">
      <c r="A7" s="48"/>
      <c r="B7" s="56" t="s">
        <v>18</v>
      </c>
      <c r="C7" s="57">
        <v>46089</v>
      </c>
      <c r="D7" s="57">
        <v>46089</v>
      </c>
      <c r="E7" s="57">
        <v>46089</v>
      </c>
      <c r="F7" s="58">
        <v>0.5</v>
      </c>
      <c r="G7" s="58">
        <v>0.5</v>
      </c>
      <c r="H7" s="58">
        <v>0</v>
      </c>
      <c r="I7" s="59" t="s">
        <v>15</v>
      </c>
      <c r="J7" s="58" t="s">
        <v>16</v>
      </c>
      <c r="K7" s="49"/>
      <c r="L7" s="53" t="s">
        <v>19</v>
      </c>
      <c r="M7" s="60">
        <v>192</v>
      </c>
      <c r="N7" s="61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5.75" customHeight="1" spans="1:26">
      <c r="A8" s="48"/>
      <c r="B8" s="56" t="s">
        <v>20</v>
      </c>
      <c r="C8" s="57">
        <v>46120</v>
      </c>
      <c r="D8" s="57">
        <v>46120</v>
      </c>
      <c r="E8" s="57">
        <v>46120</v>
      </c>
      <c r="F8" s="58">
        <v>3</v>
      </c>
      <c r="G8" s="58">
        <v>3</v>
      </c>
      <c r="H8" s="58">
        <v>0</v>
      </c>
      <c r="I8" s="59" t="s">
        <v>15</v>
      </c>
      <c r="J8" s="58" t="s">
        <v>16</v>
      </c>
      <c r="K8" s="49"/>
      <c r="L8" s="53" t="s">
        <v>21</v>
      </c>
      <c r="M8" s="62">
        <v>136.5</v>
      </c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5.75" customHeight="1" spans="1:26">
      <c r="A9" s="48"/>
      <c r="B9" s="56" t="s">
        <v>22</v>
      </c>
      <c r="C9" s="57">
        <v>46150</v>
      </c>
      <c r="D9" s="57">
        <v>46150</v>
      </c>
      <c r="E9" s="57">
        <v>46181</v>
      </c>
      <c r="F9" s="58">
        <v>2</v>
      </c>
      <c r="G9" s="58">
        <v>2</v>
      </c>
      <c r="H9" s="58">
        <v>0</v>
      </c>
      <c r="I9" s="59" t="s">
        <v>15</v>
      </c>
      <c r="J9" s="58" t="s">
        <v>16</v>
      </c>
      <c r="K9" s="49"/>
      <c r="L9" s="53" t="s">
        <v>23</v>
      </c>
      <c r="M9" s="62">
        <v>136.83</v>
      </c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5.75" customHeight="1" spans="1:26">
      <c r="A10" s="48"/>
      <c r="B10" s="56" t="s">
        <v>24</v>
      </c>
      <c r="C10" s="57">
        <v>46181</v>
      </c>
      <c r="D10" s="57">
        <v>46181</v>
      </c>
      <c r="E10" s="57">
        <v>46181</v>
      </c>
      <c r="F10" s="58">
        <v>1</v>
      </c>
      <c r="G10" s="58">
        <v>1</v>
      </c>
      <c r="H10" s="58">
        <v>0</v>
      </c>
      <c r="I10" s="59" t="s">
        <v>15</v>
      </c>
      <c r="J10" s="58" t="s">
        <v>16</v>
      </c>
      <c r="K10" s="49"/>
      <c r="L10" s="52" t="s">
        <v>25</v>
      </c>
      <c r="M10" s="62">
        <v>130.83</v>
      </c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5.75" customHeight="1" spans="1:26">
      <c r="A11" s="48"/>
      <c r="B11" s="56" t="s">
        <v>26</v>
      </c>
      <c r="C11" s="57">
        <v>46211</v>
      </c>
      <c r="D11" s="57">
        <v>46211</v>
      </c>
      <c r="E11" s="57">
        <v>46211</v>
      </c>
      <c r="F11" s="58">
        <v>3.5</v>
      </c>
      <c r="G11" s="58">
        <v>3.5</v>
      </c>
      <c r="H11" s="58">
        <v>0</v>
      </c>
      <c r="I11" s="59" t="s">
        <v>15</v>
      </c>
      <c r="J11" s="58" t="s">
        <v>16</v>
      </c>
      <c r="K11" s="49"/>
      <c r="L11" s="52" t="s">
        <v>27</v>
      </c>
      <c r="M11" s="53">
        <v>6</v>
      </c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5.75" customHeight="1" spans="1:26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2" t="s">
        <v>28</v>
      </c>
      <c r="M12" s="53">
        <v>0</v>
      </c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5.75" customHeight="1" spans="1:26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52" t="s">
        <v>29</v>
      </c>
      <c r="M13" s="53">
        <v>0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5.75" customHeight="1" spans="1:26">
      <c r="A14" s="48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52" t="s">
        <v>30</v>
      </c>
      <c r="M14" s="53">
        <v>0</v>
      </c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5.75" customHeight="1" spans="1:26">
      <c r="A15" s="48"/>
      <c r="B15" s="49" t="s">
        <v>31</v>
      </c>
      <c r="C15" s="49"/>
      <c r="D15" s="49"/>
      <c r="E15" s="49"/>
      <c r="F15" s="49"/>
      <c r="G15" s="49"/>
      <c r="H15" s="49"/>
      <c r="I15" s="49"/>
      <c r="J15" s="49"/>
      <c r="K15" s="49"/>
      <c r="L15" s="52" t="s">
        <v>32</v>
      </c>
      <c r="M15" s="53">
        <v>0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5.75" customHeight="1" spans="1:26">
      <c r="A16" s="48"/>
      <c r="B16" s="54" t="s">
        <v>4</v>
      </c>
      <c r="C16" s="54" t="s">
        <v>5</v>
      </c>
      <c r="D16" s="54" t="s">
        <v>6</v>
      </c>
      <c r="E16" s="54" t="s">
        <v>7</v>
      </c>
      <c r="F16" s="54" t="s">
        <v>8</v>
      </c>
      <c r="G16" s="54" t="s">
        <v>9</v>
      </c>
      <c r="H16" s="54" t="s">
        <v>10</v>
      </c>
      <c r="I16" s="55" t="s">
        <v>11</v>
      </c>
      <c r="J16" s="55" t="s">
        <v>12</v>
      </c>
      <c r="K16" s="49"/>
      <c r="L16" s="53" t="s">
        <v>33</v>
      </c>
      <c r="M16" s="53">
        <v>55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5.75" customHeight="1" spans="1:26">
      <c r="A17" s="48"/>
      <c r="B17" s="56" t="s">
        <v>34</v>
      </c>
      <c r="C17" s="57">
        <v>46089</v>
      </c>
      <c r="D17" s="57">
        <v>46089</v>
      </c>
      <c r="E17" s="57">
        <v>46089</v>
      </c>
      <c r="F17" s="58">
        <v>3.5</v>
      </c>
      <c r="G17" s="58">
        <v>3.5</v>
      </c>
      <c r="H17" s="58">
        <v>0</v>
      </c>
      <c r="I17" s="59" t="s">
        <v>15</v>
      </c>
      <c r="J17" s="58" t="s">
        <v>16</v>
      </c>
      <c r="K17" s="49"/>
      <c r="L17" s="53" t="s">
        <v>35</v>
      </c>
      <c r="M17" s="53">
        <v>0</v>
      </c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5.75" customHeight="1" spans="1:26">
      <c r="A18" s="48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53" t="s">
        <v>36</v>
      </c>
      <c r="M18" s="53">
        <v>55</v>
      </c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5.75" customHeight="1" spans="1:26">
      <c r="A19" s="48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53" t="s">
        <v>37</v>
      </c>
      <c r="M19" s="53">
        <v>0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5.75" customHeight="1" spans="1:26">
      <c r="A20" s="48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5.75" customHeight="1" spans="1:26">
      <c r="A21" s="48"/>
      <c r="B21" s="49" t="s">
        <v>38</v>
      </c>
      <c r="C21" s="49"/>
      <c r="D21" s="49"/>
      <c r="E21" s="49"/>
      <c r="F21" s="49"/>
      <c r="G21" s="49"/>
      <c r="H21" s="49"/>
      <c r="I21" s="49"/>
      <c r="J21" s="49"/>
      <c r="K21" s="49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5.75" customHeight="1" spans="1:26">
      <c r="A22" s="48"/>
      <c r="B22" s="54" t="s">
        <v>4</v>
      </c>
      <c r="C22" s="54" t="s">
        <v>5</v>
      </c>
      <c r="D22" s="54" t="s">
        <v>6</v>
      </c>
      <c r="E22" s="54" t="s">
        <v>7</v>
      </c>
      <c r="F22" s="54" t="s">
        <v>8</v>
      </c>
      <c r="G22" s="54" t="s">
        <v>9</v>
      </c>
      <c r="H22" s="54" t="s">
        <v>10</v>
      </c>
      <c r="I22" s="55" t="s">
        <v>11</v>
      </c>
      <c r="J22" s="55" t="s">
        <v>12</v>
      </c>
      <c r="K22" s="49"/>
      <c r="L22" s="50" t="s">
        <v>39</v>
      </c>
      <c r="M22" s="51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75" customHeight="1" spans="1:26">
      <c r="A23" s="48"/>
      <c r="B23" s="56" t="s">
        <v>40</v>
      </c>
      <c r="C23" s="57">
        <v>46089</v>
      </c>
      <c r="D23" s="57">
        <v>46089</v>
      </c>
      <c r="E23" s="57">
        <v>46089</v>
      </c>
      <c r="F23" s="58">
        <v>0.75</v>
      </c>
      <c r="G23" s="58">
        <v>0.75</v>
      </c>
      <c r="H23" s="58">
        <v>0</v>
      </c>
      <c r="I23" s="59" t="s">
        <v>15</v>
      </c>
      <c r="J23" s="58" t="s">
        <v>16</v>
      </c>
      <c r="K23" s="49"/>
      <c r="L23" s="52" t="s">
        <v>41</v>
      </c>
      <c r="M23" s="63">
        <f>M12/M4*100</f>
        <v>0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75" customHeight="1" spans="1:26">
      <c r="A24" s="48"/>
      <c r="B24" s="56" t="s">
        <v>42</v>
      </c>
      <c r="C24" s="57">
        <v>46120</v>
      </c>
      <c r="D24" s="57">
        <v>46120</v>
      </c>
      <c r="E24" s="57">
        <v>46120</v>
      </c>
      <c r="F24" s="58">
        <v>0.5</v>
      </c>
      <c r="G24" s="58">
        <v>0.5</v>
      </c>
      <c r="H24" s="58">
        <v>0</v>
      </c>
      <c r="I24" s="59" t="s">
        <v>15</v>
      </c>
      <c r="J24" s="58" t="s">
        <v>16</v>
      </c>
      <c r="K24" s="49"/>
      <c r="L24" s="52" t="s">
        <v>43</v>
      </c>
      <c r="M24" s="63">
        <f>M13/M4*100</f>
        <v>0</v>
      </c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75" customHeight="1" spans="1:26">
      <c r="A25" s="48"/>
      <c r="B25" s="56" t="s">
        <v>44</v>
      </c>
      <c r="C25" s="57">
        <v>46120</v>
      </c>
      <c r="D25" s="57">
        <v>46120</v>
      </c>
      <c r="E25" s="57">
        <v>46120</v>
      </c>
      <c r="F25" s="58">
        <v>0.5</v>
      </c>
      <c r="G25" s="58">
        <v>0.5</v>
      </c>
      <c r="H25" s="58">
        <v>0</v>
      </c>
      <c r="I25" s="59" t="s">
        <v>15</v>
      </c>
      <c r="J25" s="58" t="s">
        <v>16</v>
      </c>
      <c r="K25" s="49"/>
      <c r="L25" s="52" t="s">
        <v>45</v>
      </c>
      <c r="M25" s="63">
        <f>M14/M4*100</f>
        <v>0</v>
      </c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75" customHeight="1" spans="1:26">
      <c r="A26" s="48"/>
      <c r="B26" s="56" t="s">
        <v>46</v>
      </c>
      <c r="C26" s="57">
        <v>46150</v>
      </c>
      <c r="D26" s="57">
        <v>46150</v>
      </c>
      <c r="E26" s="57">
        <v>46150</v>
      </c>
      <c r="F26" s="58">
        <v>0.25</v>
      </c>
      <c r="G26" s="58">
        <v>0.25</v>
      </c>
      <c r="H26" s="58">
        <v>0</v>
      </c>
      <c r="I26" s="59" t="s">
        <v>15</v>
      </c>
      <c r="J26" s="58" t="s">
        <v>16</v>
      </c>
      <c r="K26" s="49"/>
      <c r="L26" s="52" t="s">
        <v>47</v>
      </c>
      <c r="M26" s="63">
        <f>M15/M4*100</f>
        <v>0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5.75" customHeight="1" spans="1:26">
      <c r="A27" s="48"/>
      <c r="B27" s="56" t="s">
        <v>48</v>
      </c>
      <c r="C27" s="57">
        <v>46150</v>
      </c>
      <c r="D27" s="57">
        <v>46150</v>
      </c>
      <c r="E27" s="57">
        <v>46150</v>
      </c>
      <c r="F27" s="58">
        <v>0.5</v>
      </c>
      <c r="G27" s="58">
        <v>0.5</v>
      </c>
      <c r="H27" s="58">
        <v>0</v>
      </c>
      <c r="I27" s="59" t="s">
        <v>15</v>
      </c>
      <c r="J27" s="58" t="s">
        <v>16</v>
      </c>
      <c r="K27" s="49"/>
      <c r="L27" s="53" t="s">
        <v>49</v>
      </c>
      <c r="M27" s="63">
        <f>M16/M4*100</f>
        <v>100</v>
      </c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5.75" customHeight="1" spans="1:26">
      <c r="A28" s="48"/>
      <c r="B28" s="56" t="s">
        <v>50</v>
      </c>
      <c r="C28" s="57">
        <v>46150</v>
      </c>
      <c r="D28" s="57">
        <v>46150</v>
      </c>
      <c r="E28" s="57">
        <v>46150</v>
      </c>
      <c r="F28" s="58">
        <v>0.5</v>
      </c>
      <c r="G28" s="58">
        <v>0.5</v>
      </c>
      <c r="H28" s="58">
        <v>0</v>
      </c>
      <c r="I28" s="59" t="s">
        <v>15</v>
      </c>
      <c r="J28" s="58" t="s">
        <v>16</v>
      </c>
      <c r="K28" s="49"/>
      <c r="L28" s="53" t="s">
        <v>51</v>
      </c>
      <c r="M28" s="63">
        <f>M17/M4*100</f>
        <v>0</v>
      </c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40.5" customHeight="1" spans="1:26">
      <c r="A29" s="48"/>
      <c r="B29" s="56" t="s">
        <v>52</v>
      </c>
      <c r="C29" s="57">
        <v>46181</v>
      </c>
      <c r="D29" s="57">
        <v>46181</v>
      </c>
      <c r="E29" s="57">
        <v>46181</v>
      </c>
      <c r="F29" s="58">
        <v>3</v>
      </c>
      <c r="G29" s="58">
        <v>3</v>
      </c>
      <c r="H29" s="58">
        <v>0</v>
      </c>
      <c r="I29" s="59" t="s">
        <v>15</v>
      </c>
      <c r="J29" s="58" t="s">
        <v>16</v>
      </c>
      <c r="K29" s="49"/>
      <c r="L29" s="53" t="s">
        <v>53</v>
      </c>
      <c r="M29" s="63">
        <f>M18/M4*100</f>
        <v>100</v>
      </c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5.75" customHeight="1" spans="1:26">
      <c r="A30" s="48"/>
      <c r="B30" s="56" t="s">
        <v>54</v>
      </c>
      <c r="C30" s="57">
        <v>46150</v>
      </c>
      <c r="D30" s="57">
        <v>46150</v>
      </c>
      <c r="E30" s="57">
        <v>46181</v>
      </c>
      <c r="F30" s="58">
        <v>0.5</v>
      </c>
      <c r="G30" s="58">
        <v>0.5</v>
      </c>
      <c r="H30" s="58">
        <v>0</v>
      </c>
      <c r="I30" s="59" t="s">
        <v>15</v>
      </c>
      <c r="J30" s="58" t="s">
        <v>16</v>
      </c>
      <c r="K30" s="49"/>
      <c r="L30" s="53" t="s">
        <v>55</v>
      </c>
      <c r="M30" s="63">
        <f>M19/M4*100</f>
        <v>0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 spans="1:26">
      <c r="A31" s="48"/>
      <c r="B31" s="56" t="s">
        <v>56</v>
      </c>
      <c r="C31" s="57">
        <v>46211</v>
      </c>
      <c r="D31" s="57">
        <v>46211</v>
      </c>
      <c r="E31" s="57">
        <v>46211</v>
      </c>
      <c r="F31" s="58">
        <v>0.5</v>
      </c>
      <c r="G31" s="58">
        <v>0.5</v>
      </c>
      <c r="H31" s="58">
        <v>0</v>
      </c>
      <c r="I31" s="59" t="s">
        <v>15</v>
      </c>
      <c r="J31" s="58" t="s">
        <v>16</v>
      </c>
      <c r="K31" s="49"/>
      <c r="L31" s="53" t="s">
        <v>57</v>
      </c>
      <c r="M31" s="63">
        <f>M6/M4*100</f>
        <v>1.81818181818182</v>
      </c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5.75" customHeight="1" spans="1:26">
      <c r="A32" s="48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53" t="s">
        <v>58</v>
      </c>
      <c r="M32" s="63">
        <f>M9/M7*100</f>
        <v>71.265625</v>
      </c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27.75" customHeight="1" spans="1:26">
      <c r="A33" s="48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53" t="s">
        <v>59</v>
      </c>
      <c r="M33" s="63">
        <f>M9/M8*100</f>
        <v>100.241758241758</v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5.75" customHeight="1" spans="1:26">
      <c r="A34" s="48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3" t="s">
        <v>60</v>
      </c>
      <c r="M34" s="63">
        <f>M10/M9*100</f>
        <v>95.6149967112475</v>
      </c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5.75" customHeight="1" spans="1:26">
      <c r="A35" s="48"/>
      <c r="B35" s="49" t="s">
        <v>61</v>
      </c>
      <c r="C35" s="49"/>
      <c r="D35" s="49"/>
      <c r="E35" s="49"/>
      <c r="F35" s="49"/>
      <c r="G35" s="49"/>
      <c r="H35" s="49"/>
      <c r="I35" s="49"/>
      <c r="J35" s="49"/>
      <c r="K35" s="49"/>
      <c r="L35" s="53" t="s">
        <v>62</v>
      </c>
      <c r="M35" s="63">
        <f>M11/M9*100</f>
        <v>4.38500328875247</v>
      </c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5.75" customHeight="1" spans="1:26">
      <c r="A36" s="48"/>
      <c r="B36" s="54" t="s">
        <v>4</v>
      </c>
      <c r="C36" s="54" t="s">
        <v>5</v>
      </c>
      <c r="D36" s="54" t="s">
        <v>6</v>
      </c>
      <c r="E36" s="54" t="s">
        <v>7</v>
      </c>
      <c r="F36" s="54" t="s">
        <v>8</v>
      </c>
      <c r="G36" s="54" t="s">
        <v>9</v>
      </c>
      <c r="H36" s="54" t="s">
        <v>10</v>
      </c>
      <c r="I36" s="55" t="s">
        <v>11</v>
      </c>
      <c r="J36" s="55" t="s">
        <v>12</v>
      </c>
      <c r="K36" s="49"/>
      <c r="L36" s="49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5.75" customHeight="1" spans="1:26">
      <c r="A37" s="49"/>
      <c r="B37" s="56" t="s">
        <v>63</v>
      </c>
      <c r="C37" s="57">
        <v>46120</v>
      </c>
      <c r="D37" s="57">
        <v>46120</v>
      </c>
      <c r="E37" s="57">
        <v>46120</v>
      </c>
      <c r="F37" s="58">
        <v>1</v>
      </c>
      <c r="G37" s="58">
        <v>1</v>
      </c>
      <c r="H37" s="58">
        <v>0</v>
      </c>
      <c r="I37" s="59" t="s">
        <v>15</v>
      </c>
      <c r="J37" s="58" t="s">
        <v>16</v>
      </c>
      <c r="K37" s="49"/>
      <c r="L37" s="49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5.75" customHeight="1" spans="1:26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5.75" customHeight="1" spans="1:26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5.75" customHeight="1" spans="1:26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5.75" customHeight="1" spans="1:26">
      <c r="A41" s="49"/>
      <c r="B41" s="49" t="s">
        <v>64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5.75" customHeight="1" spans="1:26">
      <c r="A42" s="49"/>
      <c r="B42" s="54" t="s">
        <v>4</v>
      </c>
      <c r="C42" s="54" t="s">
        <v>5</v>
      </c>
      <c r="D42" s="54" t="s">
        <v>6</v>
      </c>
      <c r="E42" s="54" t="s">
        <v>7</v>
      </c>
      <c r="F42" s="54" t="s">
        <v>8</v>
      </c>
      <c r="G42" s="54" t="s">
        <v>9</v>
      </c>
      <c r="H42" s="54" t="s">
        <v>10</v>
      </c>
      <c r="I42" s="55" t="s">
        <v>11</v>
      </c>
      <c r="J42" s="55" t="s">
        <v>12</v>
      </c>
      <c r="K42" s="49"/>
      <c r="L42" s="49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5.75" customHeight="1" spans="1:26">
      <c r="A43" s="49"/>
      <c r="B43" s="56" t="s">
        <v>65</v>
      </c>
      <c r="C43" s="57">
        <v>46089</v>
      </c>
      <c r="D43" s="57">
        <v>46211</v>
      </c>
      <c r="E43" s="57">
        <v>46211</v>
      </c>
      <c r="F43" s="58">
        <v>8</v>
      </c>
      <c r="G43" s="58">
        <v>8</v>
      </c>
      <c r="H43" s="58">
        <v>0</v>
      </c>
      <c r="I43" s="59" t="s">
        <v>15</v>
      </c>
      <c r="J43" s="58" t="s">
        <v>16</v>
      </c>
      <c r="K43" s="49"/>
      <c r="L43" s="49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5.75" customHeight="1" spans="1:26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5.75" customHeight="1" spans="1:26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5.75" customHeight="1" spans="1:2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5.75" customHeight="1" spans="1:26">
      <c r="A47" s="49"/>
      <c r="B47" s="49" t="s">
        <v>66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5.75" customHeight="1" spans="1:26">
      <c r="A48" s="49"/>
      <c r="B48" s="54" t="s">
        <v>4</v>
      </c>
      <c r="C48" s="54" t="s">
        <v>5</v>
      </c>
      <c r="D48" s="54" t="s">
        <v>6</v>
      </c>
      <c r="E48" s="54" t="s">
        <v>7</v>
      </c>
      <c r="F48" s="54" t="s">
        <v>8</v>
      </c>
      <c r="G48" s="54" t="s">
        <v>9</v>
      </c>
      <c r="H48" s="54" t="s">
        <v>10</v>
      </c>
      <c r="I48" s="55" t="s">
        <v>11</v>
      </c>
      <c r="J48" s="55" t="s">
        <v>12</v>
      </c>
      <c r="K48" s="49"/>
      <c r="L48" s="49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5.75" customHeight="1" spans="1:26">
      <c r="A49" s="49"/>
      <c r="B49" s="56" t="s">
        <v>67</v>
      </c>
      <c r="C49" s="57">
        <v>46150</v>
      </c>
      <c r="D49" s="57">
        <v>46150</v>
      </c>
      <c r="E49" s="57">
        <v>46150</v>
      </c>
      <c r="F49" s="58">
        <v>4</v>
      </c>
      <c r="G49" s="58">
        <v>4</v>
      </c>
      <c r="H49" s="58">
        <v>0</v>
      </c>
      <c r="I49" s="59" t="s">
        <v>15</v>
      </c>
      <c r="J49" s="58" t="s">
        <v>16</v>
      </c>
      <c r="K49" s="49"/>
      <c r="L49" s="49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5.75" customHeight="1" spans="1:26">
      <c r="A50" s="49"/>
      <c r="B50" s="56" t="s">
        <v>68</v>
      </c>
      <c r="C50" s="57">
        <v>46181</v>
      </c>
      <c r="D50" s="57">
        <v>46181</v>
      </c>
      <c r="E50" s="57">
        <v>46181</v>
      </c>
      <c r="F50" s="58">
        <v>1.5</v>
      </c>
      <c r="G50" s="58">
        <v>1.5</v>
      </c>
      <c r="H50" s="58">
        <v>0</v>
      </c>
      <c r="I50" s="59" t="s">
        <v>15</v>
      </c>
      <c r="J50" s="58" t="s">
        <v>16</v>
      </c>
      <c r="K50" s="49"/>
      <c r="L50" s="49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75" customHeight="1" spans="1:26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5.75" customHeight="1" spans="1:26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 spans="1:26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5.75" customHeight="1" spans="1:26">
      <c r="A54" s="49"/>
      <c r="B54" s="47" t="s">
        <v>69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5.75" customHeight="1" spans="1:26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5.75" customHeight="1" spans="1:2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5.75" customHeight="1" spans="1:26">
      <c r="A57" s="49"/>
      <c r="B57" s="49" t="s">
        <v>38</v>
      </c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5.75" customHeight="1" spans="1:26">
      <c r="A58" s="49"/>
      <c r="B58" s="54" t="s">
        <v>4</v>
      </c>
      <c r="C58" s="54" t="s">
        <v>5</v>
      </c>
      <c r="D58" s="54" t="s">
        <v>6</v>
      </c>
      <c r="E58" s="54" t="s">
        <v>7</v>
      </c>
      <c r="F58" s="54" t="s">
        <v>8</v>
      </c>
      <c r="G58" s="54" t="s">
        <v>9</v>
      </c>
      <c r="H58" s="54" t="s">
        <v>10</v>
      </c>
      <c r="I58" s="55" t="s">
        <v>11</v>
      </c>
      <c r="J58" s="55" t="s">
        <v>12</v>
      </c>
      <c r="K58" s="49"/>
      <c r="L58" s="49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5.75" customHeight="1" spans="1:26">
      <c r="A59" s="49"/>
      <c r="B59" s="56" t="s">
        <v>70</v>
      </c>
      <c r="C59" s="57">
        <v>46303</v>
      </c>
      <c r="D59" s="57">
        <v>46303</v>
      </c>
      <c r="E59" s="57">
        <v>46303</v>
      </c>
      <c r="F59" s="58">
        <v>1.75</v>
      </c>
      <c r="G59" s="58">
        <v>1.75</v>
      </c>
      <c r="H59" s="58">
        <v>0</v>
      </c>
      <c r="I59" s="59" t="s">
        <v>15</v>
      </c>
      <c r="J59" s="58" t="s">
        <v>16</v>
      </c>
      <c r="K59" s="49"/>
      <c r="L59" s="49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5.75" customHeight="1" spans="1:26">
      <c r="A60" s="49"/>
      <c r="B60" s="56" t="s">
        <v>71</v>
      </c>
      <c r="C60" s="57" t="s">
        <v>72</v>
      </c>
      <c r="D60" s="57" t="s">
        <v>72</v>
      </c>
      <c r="E60" s="57" t="s">
        <v>72</v>
      </c>
      <c r="F60" s="58">
        <v>0.25</v>
      </c>
      <c r="G60" s="58">
        <v>0.25</v>
      </c>
      <c r="H60" s="58">
        <v>0</v>
      </c>
      <c r="I60" s="59" t="s">
        <v>15</v>
      </c>
      <c r="J60" s="58" t="s">
        <v>16</v>
      </c>
      <c r="K60" s="49"/>
      <c r="L60" s="49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5.75" customHeight="1" spans="1:26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5.75" customHeight="1" spans="1:26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5.75" customHeight="1" spans="1:26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5.75" customHeight="1" spans="1:26">
      <c r="A64" s="49"/>
      <c r="B64" s="49" t="s">
        <v>2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5.75" customHeight="1" spans="1:27">
      <c r="A65" s="49"/>
      <c r="B65" s="54" t="s">
        <v>4</v>
      </c>
      <c r="C65" s="54" t="s">
        <v>5</v>
      </c>
      <c r="D65" s="54" t="s">
        <v>6</v>
      </c>
      <c r="E65" s="54" t="s">
        <v>7</v>
      </c>
      <c r="F65" s="54" t="s">
        <v>8</v>
      </c>
      <c r="G65" s="54" t="s">
        <v>9</v>
      </c>
      <c r="H65" s="54" t="s">
        <v>10</v>
      </c>
      <c r="I65" s="55" t="s">
        <v>11</v>
      </c>
      <c r="J65" s="55" t="s">
        <v>12</v>
      </c>
      <c r="K65" s="49"/>
      <c r="L65" s="49"/>
    </row>
    <row r="66" ht="15.75" customHeight="1" spans="1:27">
      <c r="A66" s="49"/>
      <c r="B66" s="56" t="s">
        <v>73</v>
      </c>
      <c r="C66" s="57">
        <v>46303</v>
      </c>
      <c r="D66" s="57">
        <v>46303</v>
      </c>
      <c r="E66" s="57">
        <v>46303</v>
      </c>
      <c r="F66" s="58">
        <v>1</v>
      </c>
      <c r="G66" s="58">
        <v>1</v>
      </c>
      <c r="H66" s="58">
        <v>0</v>
      </c>
      <c r="I66" s="59" t="s">
        <v>15</v>
      </c>
      <c r="J66" s="58" t="s">
        <v>16</v>
      </c>
      <c r="K66" s="49"/>
      <c r="L66" s="49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5.75" customHeight="1" spans="1:27">
      <c r="A67" s="49"/>
      <c r="B67" s="56" t="s">
        <v>74</v>
      </c>
      <c r="C67" s="57">
        <v>46303</v>
      </c>
      <c r="D67" s="57">
        <v>46303</v>
      </c>
      <c r="E67" s="57">
        <v>46303</v>
      </c>
      <c r="F67" s="58">
        <v>0.25</v>
      </c>
      <c r="G67" s="58">
        <v>0.25</v>
      </c>
      <c r="H67" s="58">
        <v>0</v>
      </c>
      <c r="I67" s="59" t="s">
        <v>15</v>
      </c>
      <c r="J67" s="58" t="s">
        <v>16</v>
      </c>
      <c r="K67" s="49"/>
      <c r="L67" s="49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 ht="15.75" customHeight="1" spans="1:27">
      <c r="A68" s="49"/>
      <c r="B68" s="56" t="s">
        <v>75</v>
      </c>
      <c r="C68" s="57">
        <v>46303</v>
      </c>
      <c r="D68" s="57">
        <v>46334</v>
      </c>
      <c r="E68" s="57">
        <v>46334</v>
      </c>
      <c r="F68" s="58">
        <v>5</v>
      </c>
      <c r="G68" s="58">
        <v>5</v>
      </c>
      <c r="H68" s="58">
        <v>0</v>
      </c>
      <c r="I68" s="59" t="s">
        <v>15</v>
      </c>
      <c r="J68" s="58" t="s">
        <v>16</v>
      </c>
      <c r="K68" s="49"/>
      <c r="L68" s="49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 ht="15.75" customHeight="1" spans="1:27">
      <c r="A69" s="49"/>
      <c r="B69" s="56" t="s">
        <v>76</v>
      </c>
      <c r="C69" s="57">
        <v>46364</v>
      </c>
      <c r="D69" s="57">
        <v>46364</v>
      </c>
      <c r="E69" s="57">
        <v>46364</v>
      </c>
      <c r="F69" s="58">
        <v>0.33</v>
      </c>
      <c r="G69" s="58">
        <v>0.33</v>
      </c>
      <c r="H69" s="58">
        <v>0</v>
      </c>
      <c r="I69" s="59" t="s">
        <v>15</v>
      </c>
      <c r="J69" s="58" t="s">
        <v>16</v>
      </c>
      <c r="K69" s="49"/>
      <c r="L69" s="49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5.75" customHeight="1" spans="1:27">
      <c r="A70" s="49"/>
      <c r="B70" s="56" t="s">
        <v>77</v>
      </c>
      <c r="C70" s="57" t="s">
        <v>78</v>
      </c>
      <c r="D70" s="57" t="s">
        <v>78</v>
      </c>
      <c r="E70" s="57" t="s">
        <v>78</v>
      </c>
      <c r="F70" s="58">
        <v>1.5</v>
      </c>
      <c r="G70" s="58">
        <v>1.5</v>
      </c>
      <c r="H70" s="58">
        <v>0</v>
      </c>
      <c r="I70" s="59" t="s">
        <v>15</v>
      </c>
      <c r="J70" s="58" t="s">
        <v>16</v>
      </c>
      <c r="K70" s="49"/>
      <c r="L70" s="49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5.75" customHeight="1" spans="1:27">
      <c r="A71" s="49"/>
      <c r="B71" s="56" t="s">
        <v>79</v>
      </c>
      <c r="C71" s="57" t="s">
        <v>78</v>
      </c>
      <c r="D71" s="57" t="s">
        <v>72</v>
      </c>
      <c r="E71" s="57" t="s">
        <v>72</v>
      </c>
      <c r="F71" s="58">
        <v>5</v>
      </c>
      <c r="G71" s="58">
        <v>5</v>
      </c>
      <c r="H71" s="58">
        <v>0</v>
      </c>
      <c r="I71" s="59" t="s">
        <v>15</v>
      </c>
      <c r="J71" s="58" t="s">
        <v>16</v>
      </c>
      <c r="K71" s="49"/>
      <c r="L71" s="49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5.75" customHeight="1" spans="1:27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5.75" customHeight="1" spans="1:27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5.75" customHeight="1" spans="1:27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5.75" customHeight="1" spans="1:27">
      <c r="A75" s="49"/>
      <c r="B75" s="49" t="s">
        <v>64</v>
      </c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5.75" customHeight="1" spans="1:27">
      <c r="A76" s="49"/>
      <c r="B76" s="54" t="s">
        <v>4</v>
      </c>
      <c r="C76" s="54" t="s">
        <v>5</v>
      </c>
      <c r="D76" s="54" t="s">
        <v>6</v>
      </c>
      <c r="E76" s="54" t="s">
        <v>7</v>
      </c>
      <c r="F76" s="54" t="s">
        <v>8</v>
      </c>
      <c r="G76" s="54" t="s">
        <v>9</v>
      </c>
      <c r="H76" s="54" t="s">
        <v>10</v>
      </c>
      <c r="I76" s="55" t="s">
        <v>11</v>
      </c>
      <c r="J76" s="55" t="s">
        <v>12</v>
      </c>
      <c r="K76" s="49"/>
      <c r="L76" s="49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5.75" customHeight="1" spans="1:27">
      <c r="A77" s="49"/>
      <c r="B77" s="56" t="s">
        <v>80</v>
      </c>
      <c r="C77" s="57">
        <v>46303</v>
      </c>
      <c r="D77" s="57" t="s">
        <v>72</v>
      </c>
      <c r="E77" s="57" t="s">
        <v>72</v>
      </c>
      <c r="F77" s="58">
        <v>16</v>
      </c>
      <c r="G77" s="58">
        <v>16</v>
      </c>
      <c r="H77" s="58">
        <v>0</v>
      </c>
      <c r="I77" s="59" t="s">
        <v>15</v>
      </c>
      <c r="J77" s="58" t="s">
        <v>16</v>
      </c>
      <c r="K77" s="49"/>
      <c r="L77" s="49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5.75" customHeight="1" spans="1:27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5.75" customHeight="1" spans="1:27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5.75" customHeight="1" spans="1:27">
      <c r="A80" s="49"/>
      <c r="E80" s="49"/>
      <c r="F80" s="49"/>
      <c r="G80" s="49"/>
      <c r="H80" s="49"/>
      <c r="I80" s="49"/>
      <c r="J80" s="49"/>
      <c r="K80" s="49"/>
      <c r="L80" s="49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5.75" customHeight="1" spans="1:26">
      <c r="A81" s="49"/>
      <c r="B81" s="47" t="s">
        <v>81</v>
      </c>
      <c r="E81" s="49"/>
      <c r="F81" s="49"/>
      <c r="G81" s="49"/>
      <c r="H81" s="49"/>
      <c r="I81" s="49"/>
      <c r="J81" s="49"/>
      <c r="K81" s="49"/>
      <c r="L81" s="49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5.75" customHeight="1" spans="1:26">
      <c r="A82" s="49"/>
      <c r="E82" s="49"/>
      <c r="F82" s="49"/>
      <c r="G82" s="49"/>
      <c r="H82" s="49"/>
      <c r="I82" s="49"/>
      <c r="J82" s="49"/>
      <c r="K82" s="49"/>
      <c r="L82" s="49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5.75" customHeight="1" spans="1:26">
      <c r="A83" s="49"/>
      <c r="E83" s="49"/>
      <c r="F83" s="49"/>
      <c r="G83" s="49"/>
      <c r="H83" s="49"/>
      <c r="I83" s="49"/>
      <c r="J83" s="49"/>
      <c r="K83" s="49"/>
      <c r="L83" s="49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5.75" customHeight="1" spans="1:26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5.75" customHeight="1" spans="1:26">
      <c r="A85" s="49"/>
      <c r="B85" s="49" t="s">
        <v>2</v>
      </c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5.75" customHeight="1" spans="1:26">
      <c r="A86" s="49"/>
      <c r="B86" s="54" t="s">
        <v>4</v>
      </c>
      <c r="C86" s="54" t="s">
        <v>5</v>
      </c>
      <c r="D86" s="54" t="s">
        <v>6</v>
      </c>
      <c r="E86" s="54" t="s">
        <v>7</v>
      </c>
      <c r="F86" s="54" t="s">
        <v>8</v>
      </c>
      <c r="G86" s="54" t="s">
        <v>9</v>
      </c>
      <c r="H86" s="54" t="s">
        <v>10</v>
      </c>
      <c r="I86" s="55" t="s">
        <v>11</v>
      </c>
      <c r="J86" s="55" t="s">
        <v>12</v>
      </c>
      <c r="K86" s="49"/>
      <c r="L86" s="49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5.75" customHeight="1" spans="1:26">
      <c r="A87" s="49"/>
      <c r="B87" s="56" t="s">
        <v>82</v>
      </c>
      <c r="C87" s="57" t="s">
        <v>83</v>
      </c>
      <c r="D87" s="57" t="s">
        <v>83</v>
      </c>
      <c r="E87" s="57" t="s">
        <v>83</v>
      </c>
      <c r="F87" s="58">
        <v>1</v>
      </c>
      <c r="G87" s="58">
        <v>1</v>
      </c>
      <c r="H87" s="58">
        <v>0</v>
      </c>
      <c r="I87" s="59" t="s">
        <v>15</v>
      </c>
      <c r="J87" s="58" t="s">
        <v>16</v>
      </c>
      <c r="K87" s="49"/>
      <c r="L87" s="49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5.75" customHeight="1" spans="1:26">
      <c r="A88" s="49"/>
      <c r="B88" s="56" t="s">
        <v>84</v>
      </c>
      <c r="C88" s="57" t="s">
        <v>83</v>
      </c>
      <c r="D88" s="57" t="s">
        <v>83</v>
      </c>
      <c r="E88" s="57" t="s">
        <v>83</v>
      </c>
      <c r="F88" s="58">
        <v>0.25</v>
      </c>
      <c r="G88" s="58">
        <v>0.25</v>
      </c>
      <c r="H88" s="58">
        <v>0</v>
      </c>
      <c r="I88" s="59" t="s">
        <v>15</v>
      </c>
      <c r="J88" s="58" t="s">
        <v>16</v>
      </c>
      <c r="K88" s="49"/>
      <c r="L88" s="49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5.75" customHeight="1" spans="1:26">
      <c r="A89" s="49"/>
      <c r="B89" s="56" t="s">
        <v>85</v>
      </c>
      <c r="C89" s="57" t="s">
        <v>86</v>
      </c>
      <c r="D89" s="57" t="s">
        <v>86</v>
      </c>
      <c r="E89" s="57" t="s">
        <v>86</v>
      </c>
      <c r="F89" s="58">
        <v>4</v>
      </c>
      <c r="G89" s="58">
        <v>4</v>
      </c>
      <c r="H89" s="58">
        <v>0</v>
      </c>
      <c r="I89" s="59" t="s">
        <v>15</v>
      </c>
      <c r="J89" s="58" t="s">
        <v>16</v>
      </c>
      <c r="K89" s="49"/>
      <c r="L89" s="49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5.75" customHeight="1" spans="1:26">
      <c r="A90" s="49"/>
      <c r="B90" s="56" t="s">
        <v>87</v>
      </c>
      <c r="C90" s="57" t="s">
        <v>88</v>
      </c>
      <c r="D90" s="57" t="s">
        <v>88</v>
      </c>
      <c r="E90" s="57" t="s">
        <v>88</v>
      </c>
      <c r="F90" s="58">
        <v>3</v>
      </c>
      <c r="G90" s="58">
        <v>3</v>
      </c>
      <c r="H90" s="58">
        <v>0</v>
      </c>
      <c r="I90" s="59" t="s">
        <v>15</v>
      </c>
      <c r="J90" s="58" t="s">
        <v>16</v>
      </c>
      <c r="K90" s="49"/>
      <c r="L90" s="49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5.75" customHeight="1" spans="1:26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5.75" customHeight="1" spans="1:26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5.75" customHeight="1" spans="1:26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5.75" customHeight="1" spans="1:26">
      <c r="A94" s="49"/>
      <c r="B94" s="49" t="s">
        <v>38</v>
      </c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5.75" customHeight="1" spans="1:26">
      <c r="A95" s="49"/>
      <c r="B95" s="54" t="s">
        <v>4</v>
      </c>
      <c r="C95" s="54" t="s">
        <v>5</v>
      </c>
      <c r="D95" s="54" t="s">
        <v>6</v>
      </c>
      <c r="E95" s="54" t="s">
        <v>7</v>
      </c>
      <c r="F95" s="54" t="s">
        <v>8</v>
      </c>
      <c r="G95" s="54" t="s">
        <v>9</v>
      </c>
      <c r="H95" s="54" t="s">
        <v>10</v>
      </c>
      <c r="I95" s="55" t="s">
        <v>11</v>
      </c>
      <c r="J95" s="55" t="s">
        <v>12</v>
      </c>
      <c r="K95" s="49"/>
      <c r="L95" s="49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5.75" customHeight="1" spans="1:26">
      <c r="A96" s="49"/>
      <c r="B96" s="56" t="s">
        <v>89</v>
      </c>
      <c r="C96" s="57" t="s">
        <v>83</v>
      </c>
      <c r="D96" s="57" t="s">
        <v>83</v>
      </c>
      <c r="E96" s="57" t="s">
        <v>83</v>
      </c>
      <c r="F96" s="58">
        <v>1</v>
      </c>
      <c r="G96" s="58">
        <v>1.33</v>
      </c>
      <c r="H96" s="58">
        <v>0</v>
      </c>
      <c r="I96" s="59" t="s">
        <v>15</v>
      </c>
      <c r="J96" s="58" t="s">
        <v>16</v>
      </c>
      <c r="K96" s="49"/>
      <c r="L96" s="49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5.75" customHeight="1" spans="1:26">
      <c r="A97" s="49"/>
      <c r="B97" s="56" t="s">
        <v>90</v>
      </c>
      <c r="C97" s="57" t="s">
        <v>91</v>
      </c>
      <c r="D97" s="57" t="s">
        <v>91</v>
      </c>
      <c r="E97" s="57" t="s">
        <v>91</v>
      </c>
      <c r="F97" s="58">
        <v>0.75</v>
      </c>
      <c r="G97" s="58">
        <v>0.75</v>
      </c>
      <c r="H97" s="58">
        <v>0</v>
      </c>
      <c r="I97" s="59" t="s">
        <v>15</v>
      </c>
      <c r="J97" s="58" t="s">
        <v>16</v>
      </c>
      <c r="K97" s="49"/>
      <c r="L97" s="49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5.75" customHeight="1" spans="1:26">
      <c r="A98" s="49"/>
      <c r="B98" s="56" t="s">
        <v>92</v>
      </c>
      <c r="C98" s="57" t="s">
        <v>91</v>
      </c>
      <c r="D98" s="57" t="s">
        <v>91</v>
      </c>
      <c r="E98" s="57" t="s">
        <v>91</v>
      </c>
      <c r="F98" s="58">
        <v>2</v>
      </c>
      <c r="G98" s="58">
        <v>2</v>
      </c>
      <c r="H98" s="58">
        <v>0</v>
      </c>
      <c r="I98" s="59" t="s">
        <v>15</v>
      </c>
      <c r="J98" s="58" t="s">
        <v>16</v>
      </c>
      <c r="K98" s="49"/>
      <c r="L98" s="49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5.75" customHeight="1" spans="1:26">
      <c r="A99" s="49"/>
      <c r="B99" s="56" t="s">
        <v>93</v>
      </c>
      <c r="C99" s="57" t="s">
        <v>88</v>
      </c>
      <c r="D99" s="57" t="s">
        <v>88</v>
      </c>
      <c r="E99" s="57" t="s">
        <v>88</v>
      </c>
      <c r="F99" s="58">
        <v>0.5</v>
      </c>
      <c r="G99" s="58">
        <v>0.5</v>
      </c>
      <c r="H99" s="58">
        <v>0</v>
      </c>
      <c r="I99" s="59" t="s">
        <v>15</v>
      </c>
      <c r="J99" s="58" t="s">
        <v>16</v>
      </c>
      <c r="K99" s="49"/>
      <c r="L99" s="49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5.75" customHeight="1" spans="1:26">
      <c r="A100" s="49"/>
      <c r="B100" s="56" t="s">
        <v>94</v>
      </c>
      <c r="C100" s="57" t="s">
        <v>88</v>
      </c>
      <c r="D100" s="57" t="s">
        <v>88</v>
      </c>
      <c r="E100" s="57" t="s">
        <v>88</v>
      </c>
      <c r="F100" s="58">
        <v>0.25</v>
      </c>
      <c r="G100" s="58">
        <v>0.25</v>
      </c>
      <c r="H100" s="58">
        <v>0</v>
      </c>
      <c r="I100" s="59" t="s">
        <v>15</v>
      </c>
      <c r="J100" s="58" t="s">
        <v>16</v>
      </c>
      <c r="K100" s="49"/>
      <c r="L100" s="49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5.75" customHeight="1" spans="1:26">
      <c r="A101" s="49"/>
      <c r="B101" s="56" t="s">
        <v>95</v>
      </c>
      <c r="C101" s="57" t="s">
        <v>88</v>
      </c>
      <c r="D101" s="57" t="s">
        <v>88</v>
      </c>
      <c r="E101" s="57" t="s">
        <v>88</v>
      </c>
      <c r="F101" s="58">
        <v>0.25</v>
      </c>
      <c r="G101" s="58">
        <v>0.25</v>
      </c>
      <c r="H101" s="58">
        <v>0</v>
      </c>
      <c r="I101" s="59" t="s">
        <v>15</v>
      </c>
      <c r="J101" s="58" t="s">
        <v>16</v>
      </c>
      <c r="K101" s="49"/>
      <c r="L101" s="49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5.75" customHeight="1" spans="1:26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5.75" customHeight="1" spans="1:26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5.75" customHeight="1" spans="1:26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5.75" customHeight="1" spans="1:26">
      <c r="A105" s="49"/>
      <c r="B105" s="49" t="s">
        <v>31</v>
      </c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5.75" customHeight="1" spans="1:26">
      <c r="A106" s="49"/>
      <c r="B106" s="54" t="s">
        <v>4</v>
      </c>
      <c r="C106" s="54" t="s">
        <v>5</v>
      </c>
      <c r="D106" s="54" t="s">
        <v>6</v>
      </c>
      <c r="E106" s="54" t="s">
        <v>7</v>
      </c>
      <c r="F106" s="54" t="s">
        <v>8</v>
      </c>
      <c r="G106" s="54" t="s">
        <v>9</v>
      </c>
      <c r="H106" s="54" t="s">
        <v>10</v>
      </c>
      <c r="I106" s="55" t="s">
        <v>11</v>
      </c>
      <c r="J106" s="55" t="s">
        <v>12</v>
      </c>
      <c r="K106" s="49"/>
      <c r="L106" s="49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5.75" customHeight="1" spans="1:26">
      <c r="A107" s="49"/>
      <c r="B107" s="56" t="s">
        <v>96</v>
      </c>
      <c r="C107" s="57" t="s">
        <v>83</v>
      </c>
      <c r="D107" s="57" t="s">
        <v>83</v>
      </c>
      <c r="E107" s="57" t="s">
        <v>83</v>
      </c>
      <c r="F107" s="58">
        <v>3</v>
      </c>
      <c r="G107" s="58">
        <v>3</v>
      </c>
      <c r="H107" s="58">
        <v>0</v>
      </c>
      <c r="I107" s="59" t="s">
        <v>15</v>
      </c>
      <c r="J107" s="58" t="s">
        <v>16</v>
      </c>
      <c r="K107" s="49"/>
      <c r="L107" s="49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5.75" customHeight="1" spans="1:26">
      <c r="A108" s="49"/>
      <c r="B108" s="56" t="s">
        <v>97</v>
      </c>
      <c r="C108" s="57" t="s">
        <v>86</v>
      </c>
      <c r="D108" s="57" t="s">
        <v>86</v>
      </c>
      <c r="E108" s="57" t="s">
        <v>86</v>
      </c>
      <c r="F108" s="58">
        <v>0.25</v>
      </c>
      <c r="G108" s="58">
        <v>0.25</v>
      </c>
      <c r="H108" s="58">
        <v>0</v>
      </c>
      <c r="I108" s="59" t="s">
        <v>15</v>
      </c>
      <c r="J108" s="58" t="s">
        <v>16</v>
      </c>
      <c r="K108" s="49"/>
      <c r="L108" s="49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5.75" customHeight="1" spans="1:26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5.75" customHeight="1" spans="1:26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5.75" customHeight="1" spans="1:26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5.75" customHeight="1" spans="1:26">
      <c r="A112" s="49"/>
      <c r="B112" s="49" t="s">
        <v>64</v>
      </c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5.75" customHeight="1" spans="1:26">
      <c r="A113" s="49"/>
      <c r="B113" s="54" t="s">
        <v>4</v>
      </c>
      <c r="C113" s="54" t="s">
        <v>5</v>
      </c>
      <c r="D113" s="54" t="s">
        <v>6</v>
      </c>
      <c r="E113" s="54" t="s">
        <v>7</v>
      </c>
      <c r="F113" s="54" t="s">
        <v>8</v>
      </c>
      <c r="G113" s="54" t="s">
        <v>9</v>
      </c>
      <c r="H113" s="54" t="s">
        <v>10</v>
      </c>
      <c r="I113" s="55" t="s">
        <v>11</v>
      </c>
      <c r="J113" s="55" t="s">
        <v>12</v>
      </c>
      <c r="K113" s="49"/>
      <c r="L113" s="49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5.75" customHeight="1" spans="1:26">
      <c r="A114" s="49"/>
      <c r="B114" s="56" t="s">
        <v>98</v>
      </c>
      <c r="C114" s="57" t="s">
        <v>83</v>
      </c>
      <c r="D114" s="57" t="s">
        <v>99</v>
      </c>
      <c r="E114" s="57" t="s">
        <v>88</v>
      </c>
      <c r="F114" s="58">
        <v>10</v>
      </c>
      <c r="G114" s="58">
        <v>9.5</v>
      </c>
      <c r="H114" s="58">
        <v>0</v>
      </c>
      <c r="I114" s="59" t="s">
        <v>15</v>
      </c>
      <c r="J114" s="58" t="s">
        <v>16</v>
      </c>
      <c r="K114" s="49"/>
      <c r="L114" s="49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5.75" customHeight="1" spans="1:26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5.75" customHeight="1" spans="1:2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5.75" customHeight="1" spans="1:26">
      <c r="A117" s="49"/>
      <c r="K117" s="49"/>
      <c r="L117" s="49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5.75" customHeight="1" spans="1:26">
      <c r="A118" s="49"/>
      <c r="B118" s="47" t="s">
        <v>100</v>
      </c>
      <c r="K118" s="49"/>
      <c r="L118" s="48"/>
      <c r="M118" s="48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5.75" customHeight="1" spans="1:26">
      <c r="A119" s="49"/>
      <c r="K119" s="49"/>
      <c r="L119" s="49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5.75" customHeight="1" spans="1:26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5.75" customHeight="1" spans="1:26">
      <c r="A121" s="49"/>
      <c r="B121" s="49" t="s">
        <v>64</v>
      </c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5.75" customHeight="1" spans="1:26">
      <c r="A122" s="49"/>
      <c r="B122" s="54" t="s">
        <v>4</v>
      </c>
      <c r="C122" s="54" t="s">
        <v>5</v>
      </c>
      <c r="D122" s="54" t="s">
        <v>6</v>
      </c>
      <c r="E122" s="54" t="s">
        <v>7</v>
      </c>
      <c r="F122" s="54" t="s">
        <v>8</v>
      </c>
      <c r="G122" s="54" t="s">
        <v>9</v>
      </c>
      <c r="H122" s="54" t="s">
        <v>10</v>
      </c>
      <c r="I122" s="55" t="s">
        <v>11</v>
      </c>
      <c r="J122" s="55" t="s">
        <v>12</v>
      </c>
      <c r="K122" s="49"/>
      <c r="L122" s="49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5.75" customHeight="1" spans="1:26">
      <c r="A123" s="49"/>
      <c r="B123" s="56" t="s">
        <v>101</v>
      </c>
      <c r="C123" s="57" t="s">
        <v>102</v>
      </c>
      <c r="D123" s="57" t="s">
        <v>103</v>
      </c>
      <c r="E123" s="57" t="s">
        <v>103</v>
      </c>
      <c r="F123" s="58">
        <v>12</v>
      </c>
      <c r="G123" s="58">
        <v>12</v>
      </c>
      <c r="H123" s="58">
        <v>0</v>
      </c>
      <c r="I123" s="59" t="s">
        <v>15</v>
      </c>
      <c r="J123" s="58" t="s">
        <v>16</v>
      </c>
      <c r="K123" s="49"/>
      <c r="L123" s="49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5.75" customHeight="1" spans="1:26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5.75" customHeight="1" spans="1:26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5.75" customHeight="1" spans="1: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5.75" customHeight="1" spans="1:26">
      <c r="A127" s="49"/>
      <c r="B127" s="49" t="s">
        <v>2</v>
      </c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5.75" customHeight="1" spans="1:26">
      <c r="A128" s="49"/>
      <c r="B128" s="54" t="s">
        <v>4</v>
      </c>
      <c r="C128" s="54" t="s">
        <v>5</v>
      </c>
      <c r="D128" s="54" t="s">
        <v>6</v>
      </c>
      <c r="E128" s="54" t="s">
        <v>7</v>
      </c>
      <c r="F128" s="54" t="s">
        <v>8</v>
      </c>
      <c r="G128" s="54" t="s">
        <v>9</v>
      </c>
      <c r="H128" s="54" t="s">
        <v>10</v>
      </c>
      <c r="I128" s="55" t="s">
        <v>11</v>
      </c>
      <c r="J128" s="55" t="s">
        <v>12</v>
      </c>
      <c r="K128" s="49"/>
      <c r="L128" s="49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5.75" customHeight="1" spans="1:26">
      <c r="A129" s="49"/>
      <c r="B129" s="56" t="s">
        <v>104</v>
      </c>
      <c r="C129" s="57" t="s">
        <v>105</v>
      </c>
      <c r="D129" s="57" t="s">
        <v>105</v>
      </c>
      <c r="E129" s="57" t="s">
        <v>105</v>
      </c>
      <c r="F129" s="58">
        <v>1</v>
      </c>
      <c r="G129" s="58">
        <v>1</v>
      </c>
      <c r="H129" s="58">
        <v>0</v>
      </c>
      <c r="I129" s="59" t="s">
        <v>15</v>
      </c>
      <c r="J129" s="58" t="s">
        <v>16</v>
      </c>
      <c r="K129" s="49"/>
      <c r="L129" s="49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5.75" customHeight="1" spans="1:26">
      <c r="A130" s="49"/>
      <c r="B130" s="56" t="s">
        <v>106</v>
      </c>
      <c r="C130" s="57" t="s">
        <v>105</v>
      </c>
      <c r="D130" s="57" t="s">
        <v>105</v>
      </c>
      <c r="E130" s="57" t="s">
        <v>105</v>
      </c>
      <c r="F130" s="58">
        <v>0.5</v>
      </c>
      <c r="G130" s="58">
        <v>0.5</v>
      </c>
      <c r="H130" s="58">
        <v>0</v>
      </c>
      <c r="I130" s="59" t="s">
        <v>15</v>
      </c>
      <c r="J130" s="58" t="s">
        <v>16</v>
      </c>
      <c r="K130" s="49"/>
      <c r="L130" s="49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5.75" customHeight="1" spans="1:26">
      <c r="A131" s="49"/>
      <c r="B131" s="56" t="s">
        <v>107</v>
      </c>
      <c r="C131" s="57" t="s">
        <v>108</v>
      </c>
      <c r="D131" s="57" t="s">
        <v>108</v>
      </c>
      <c r="E131" s="57" t="s">
        <v>108</v>
      </c>
      <c r="F131" s="58">
        <v>2</v>
      </c>
      <c r="G131" s="58">
        <v>2</v>
      </c>
      <c r="H131" s="58">
        <v>0</v>
      </c>
      <c r="I131" s="59" t="s">
        <v>15</v>
      </c>
      <c r="J131" s="58" t="s">
        <v>16</v>
      </c>
      <c r="K131" s="49"/>
      <c r="L131" s="49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5.75" customHeight="1" spans="1:26">
      <c r="A132" s="49"/>
      <c r="B132" s="56" t="s">
        <v>109</v>
      </c>
      <c r="C132" s="57" t="s">
        <v>108</v>
      </c>
      <c r="D132" s="57" t="s">
        <v>110</v>
      </c>
      <c r="E132" s="57" t="s">
        <v>110</v>
      </c>
      <c r="F132" s="58">
        <v>3</v>
      </c>
      <c r="G132" s="58">
        <v>3.5</v>
      </c>
      <c r="H132" s="58">
        <v>0</v>
      </c>
      <c r="I132" s="59" t="s">
        <v>15</v>
      </c>
      <c r="J132" s="58" t="s">
        <v>16</v>
      </c>
      <c r="K132" s="49"/>
      <c r="L132" s="49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5.75" customHeight="1" spans="1:26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5.75" customHeight="1" spans="1:26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5.75" customHeight="1" spans="1:26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5.75" customHeight="1" spans="1:26">
      <c r="A136" s="49"/>
      <c r="B136" s="49" t="s">
        <v>38</v>
      </c>
      <c r="C136" s="49"/>
      <c r="D136" s="49"/>
      <c r="E136" s="49"/>
      <c r="F136" s="49"/>
      <c r="G136" s="49"/>
      <c r="H136" s="49"/>
      <c r="I136" s="49"/>
      <c r="J136" s="49"/>
      <c r="K136" s="49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5.75" customHeight="1" spans="1:26">
      <c r="A137" s="49"/>
      <c r="B137" s="54" t="s">
        <v>4</v>
      </c>
      <c r="C137" s="54" t="s">
        <v>5</v>
      </c>
      <c r="D137" s="54" t="s">
        <v>6</v>
      </c>
      <c r="E137" s="54" t="s">
        <v>7</v>
      </c>
      <c r="F137" s="54" t="s">
        <v>8</v>
      </c>
      <c r="G137" s="54" t="s">
        <v>9</v>
      </c>
      <c r="H137" s="54" t="s">
        <v>10</v>
      </c>
      <c r="I137" s="55" t="s">
        <v>11</v>
      </c>
      <c r="J137" s="55" t="s">
        <v>12</v>
      </c>
      <c r="K137" s="49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5.75" customHeight="1" spans="1:26">
      <c r="A138" s="49"/>
      <c r="B138" s="56" t="s">
        <v>111</v>
      </c>
      <c r="C138" s="57" t="s">
        <v>105</v>
      </c>
      <c r="D138" s="57" t="s">
        <v>105</v>
      </c>
      <c r="E138" s="57" t="s">
        <v>105</v>
      </c>
      <c r="F138" s="58">
        <v>3</v>
      </c>
      <c r="G138" s="58">
        <v>3</v>
      </c>
      <c r="H138" s="58">
        <v>0</v>
      </c>
      <c r="I138" s="59" t="s">
        <v>15</v>
      </c>
      <c r="J138" s="58" t="s">
        <v>16</v>
      </c>
      <c r="K138" s="49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5.75" customHeight="1" spans="1:26">
      <c r="A139" s="49"/>
      <c r="B139" s="56" t="s">
        <v>112</v>
      </c>
      <c r="C139" s="57" t="s">
        <v>102</v>
      </c>
      <c r="D139" s="57" t="s">
        <v>102</v>
      </c>
      <c r="E139" s="57" t="s">
        <v>102</v>
      </c>
      <c r="F139" s="58">
        <v>3</v>
      </c>
      <c r="G139" s="58">
        <v>3</v>
      </c>
      <c r="H139" s="58">
        <v>0</v>
      </c>
      <c r="I139" s="59" t="s">
        <v>15</v>
      </c>
      <c r="J139" s="58" t="s">
        <v>16</v>
      </c>
      <c r="K139" s="49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5.75" customHeight="1" spans="1:26">
      <c r="A140" s="49"/>
      <c r="B140" s="56" t="s">
        <v>113</v>
      </c>
      <c r="C140" s="57" t="s">
        <v>103</v>
      </c>
      <c r="D140" s="57" t="s">
        <v>103</v>
      </c>
      <c r="E140" s="57" t="s">
        <v>103</v>
      </c>
      <c r="F140" s="58">
        <v>6</v>
      </c>
      <c r="G140" s="58">
        <v>6</v>
      </c>
      <c r="H140" s="58">
        <v>0</v>
      </c>
      <c r="I140" s="59" t="s">
        <v>114</v>
      </c>
      <c r="J140" s="58" t="s">
        <v>16</v>
      </c>
      <c r="K140" s="49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5.75" customHeight="1" spans="1:26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5.75" customHeight="1" spans="1:26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5.75" customHeight="1" spans="1:26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5.75" customHeight="1" spans="1:26">
      <c r="A144" s="49"/>
      <c r="B144" s="49" t="s">
        <v>31</v>
      </c>
      <c r="C144" s="49"/>
      <c r="D144" s="49"/>
      <c r="E144" s="49"/>
      <c r="F144" s="49"/>
      <c r="G144" s="49"/>
      <c r="H144" s="49"/>
      <c r="I144" s="49"/>
      <c r="J144" s="49"/>
      <c r="K144" s="49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5.75" customHeight="1" spans="1:26">
      <c r="A145" s="49"/>
      <c r="B145" s="54" t="s">
        <v>4</v>
      </c>
      <c r="C145" s="54" t="s">
        <v>5</v>
      </c>
      <c r="D145" s="54" t="s">
        <v>6</v>
      </c>
      <c r="E145" s="54" t="s">
        <v>7</v>
      </c>
      <c r="F145" s="54" t="s">
        <v>8</v>
      </c>
      <c r="G145" s="54" t="s">
        <v>9</v>
      </c>
      <c r="H145" s="54" t="s">
        <v>10</v>
      </c>
      <c r="I145" s="55" t="s">
        <v>11</v>
      </c>
      <c r="J145" s="55" t="s">
        <v>12</v>
      </c>
      <c r="K145" s="49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5.75" customHeight="1" spans="1:26">
      <c r="A146" s="49"/>
      <c r="B146" s="56" t="s">
        <v>115</v>
      </c>
      <c r="C146" s="57" t="s">
        <v>105</v>
      </c>
      <c r="D146" s="57" t="s">
        <v>105</v>
      </c>
      <c r="E146" s="57" t="s">
        <v>105</v>
      </c>
      <c r="F146" s="58">
        <v>1</v>
      </c>
      <c r="G146" s="58">
        <v>1</v>
      </c>
      <c r="H146" s="58">
        <v>0</v>
      </c>
      <c r="I146" s="59" t="s">
        <v>15</v>
      </c>
      <c r="J146" s="58" t="s">
        <v>16</v>
      </c>
      <c r="K146" s="49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5.75" customHeight="1" spans="1:26">
      <c r="A147" s="49"/>
      <c r="B147" s="56" t="s">
        <v>116</v>
      </c>
      <c r="C147" s="57" t="s">
        <v>102</v>
      </c>
      <c r="D147" s="57" t="s">
        <v>102</v>
      </c>
      <c r="E147" s="57" t="s">
        <v>102</v>
      </c>
      <c r="F147" s="58">
        <v>0.5</v>
      </c>
      <c r="G147" s="58">
        <v>0.5</v>
      </c>
      <c r="H147" s="58">
        <v>0</v>
      </c>
      <c r="I147" s="59" t="s">
        <v>15</v>
      </c>
      <c r="J147" s="58" t="s">
        <v>16</v>
      </c>
      <c r="K147" s="49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5.75" customHeight="1" spans="1:26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5.75" customHeight="1" spans="1:26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="45" customFormat="1" ht="23.1" customHeight="1" spans="1:26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</row>
    <row r="151" ht="15.75" customHeight="1" spans="1:26">
      <c r="A151" s="49"/>
      <c r="B151" s="47" t="s">
        <v>117</v>
      </c>
      <c r="C151" s="49"/>
      <c r="D151" s="49"/>
      <c r="E151" s="49"/>
      <c r="F151" s="49"/>
      <c r="G151" s="49"/>
      <c r="H151" s="49"/>
      <c r="I151" s="49"/>
      <c r="J151" s="49"/>
      <c r="K151" s="49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5.75" customHeight="1" spans="1:26">
      <c r="A152" s="49"/>
      <c r="K152" s="49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5.75" customHeight="1" spans="1:26">
      <c r="A153" s="49"/>
      <c r="B153" s="49" t="s">
        <v>2</v>
      </c>
      <c r="K153" s="49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5.75" customHeight="1" spans="1:26">
      <c r="A154" s="49"/>
      <c r="B154" s="54" t="s">
        <v>4</v>
      </c>
      <c r="C154" s="54" t="s">
        <v>5</v>
      </c>
      <c r="D154" s="54" t="s">
        <v>6</v>
      </c>
      <c r="E154" s="54" t="s">
        <v>7</v>
      </c>
      <c r="F154" s="54" t="s">
        <v>8</v>
      </c>
      <c r="G154" s="54" t="s">
        <v>9</v>
      </c>
      <c r="H154" s="54" t="s">
        <v>10</v>
      </c>
      <c r="I154" s="55" t="s">
        <v>11</v>
      </c>
      <c r="J154" s="55" t="s">
        <v>12</v>
      </c>
      <c r="K154" s="49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5.75" customHeight="1" spans="1:26">
      <c r="A155" s="49"/>
      <c r="B155" s="56" t="s">
        <v>118</v>
      </c>
      <c r="C155" s="57" t="s">
        <v>119</v>
      </c>
      <c r="D155" s="57" t="s">
        <v>119</v>
      </c>
      <c r="E155" s="57" t="s">
        <v>119</v>
      </c>
      <c r="F155" s="58">
        <v>1</v>
      </c>
      <c r="G155" s="58">
        <v>1</v>
      </c>
      <c r="H155" s="58">
        <v>0</v>
      </c>
      <c r="I155" s="59" t="s">
        <v>15</v>
      </c>
      <c r="J155" s="58" t="s">
        <v>16</v>
      </c>
      <c r="K155" s="49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5.75" customHeight="1" spans="1:26">
      <c r="A156" s="49"/>
      <c r="B156" s="56" t="s">
        <v>120</v>
      </c>
      <c r="C156" s="57" t="s">
        <v>119</v>
      </c>
      <c r="D156" s="57" t="s">
        <v>119</v>
      </c>
      <c r="E156" s="57" t="s">
        <v>119</v>
      </c>
      <c r="F156" s="58">
        <v>0.5</v>
      </c>
      <c r="G156" s="58">
        <v>0.5</v>
      </c>
      <c r="H156" s="58">
        <v>0</v>
      </c>
      <c r="I156" s="59" t="s">
        <v>15</v>
      </c>
      <c r="J156" s="58" t="s">
        <v>16</v>
      </c>
      <c r="K156" s="49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5.75" customHeight="1" spans="1:26">
      <c r="A157" s="49"/>
      <c r="B157" s="56" t="s">
        <v>121</v>
      </c>
      <c r="C157" s="57" t="s">
        <v>119</v>
      </c>
      <c r="D157" s="57" t="s">
        <v>119</v>
      </c>
      <c r="E157" s="57" t="s">
        <v>119</v>
      </c>
      <c r="F157" s="58">
        <v>4</v>
      </c>
      <c r="G157" s="58">
        <v>4</v>
      </c>
      <c r="H157" s="58">
        <v>0</v>
      </c>
      <c r="I157" s="59" t="s">
        <v>15</v>
      </c>
      <c r="J157" s="58" t="s">
        <v>16</v>
      </c>
      <c r="K157" s="49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5.75" customHeight="1" spans="1:26">
      <c r="A158" s="49"/>
      <c r="K158" s="49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5.75" customHeight="1" spans="1:26">
      <c r="A159" s="49"/>
      <c r="K159" s="49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5.75" customHeight="1" spans="1:26">
      <c r="A160" s="49"/>
      <c r="K160" s="49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5.75" customHeight="1" spans="1:26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5.75" customHeight="1" spans="1:26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5.75" customHeight="1" spans="1:26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5.75" customHeight="1" spans="1:26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5.75" customHeight="1" spans="1:26">
      <c r="A165" s="49"/>
      <c r="B165" s="49" t="s">
        <v>122</v>
      </c>
      <c r="C165" s="49"/>
      <c r="D165" s="49"/>
      <c r="E165" s="49"/>
      <c r="F165" s="49"/>
      <c r="G165" s="49"/>
      <c r="H165" s="49"/>
      <c r="I165" s="49"/>
      <c r="J165" s="49"/>
      <c r="K165" s="49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5.75" customHeight="1" spans="1:26">
      <c r="A166" s="49"/>
      <c r="B166" s="54" t="s">
        <v>4</v>
      </c>
      <c r="C166" s="54" t="s">
        <v>8</v>
      </c>
      <c r="D166" s="54" t="s">
        <v>9</v>
      </c>
      <c r="E166" s="49"/>
      <c r="F166" s="49"/>
      <c r="G166" s="49"/>
      <c r="H166" s="49"/>
      <c r="I166" s="49"/>
      <c r="J166" s="49"/>
      <c r="K166" s="49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5.75" customHeight="1" spans="1:26">
      <c r="A167" s="49"/>
      <c r="B167" s="56" t="s">
        <v>123</v>
      </c>
      <c r="C167" s="65">
        <v>2</v>
      </c>
      <c r="D167" s="65">
        <v>2</v>
      </c>
      <c r="E167" s="49"/>
      <c r="F167" s="49"/>
      <c r="G167" s="49"/>
      <c r="H167" s="49"/>
      <c r="I167" s="49"/>
      <c r="J167" s="49"/>
      <c r="K167" s="49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5.75" customHeight="1" spans="1:26">
      <c r="A168" s="49"/>
      <c r="B168" s="56" t="s">
        <v>124</v>
      </c>
      <c r="C168" s="65">
        <v>0.17</v>
      </c>
      <c r="D168" s="65">
        <v>0.17</v>
      </c>
      <c r="E168" s="49"/>
      <c r="F168" s="49"/>
      <c r="G168" s="49"/>
      <c r="H168" s="49"/>
      <c r="I168" s="49"/>
      <c r="J168" s="49"/>
      <c r="K168" s="49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5.75" customHeight="1" spans="1:26">
      <c r="A169" s="49"/>
      <c r="B169" s="56" t="s">
        <v>125</v>
      </c>
      <c r="C169" s="65">
        <v>2.5</v>
      </c>
      <c r="D169" s="65">
        <v>2.5</v>
      </c>
      <c r="E169" s="49"/>
      <c r="F169" s="49"/>
      <c r="G169" s="49"/>
      <c r="H169" s="49"/>
      <c r="I169" s="49"/>
      <c r="J169" s="49"/>
      <c r="K169" s="49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5.75" customHeight="1" spans="1:26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5.75" customHeight="1" spans="1:26">
      <c r="A171" s="49"/>
      <c r="E171" s="49"/>
      <c r="F171" s="49"/>
      <c r="G171" s="49"/>
      <c r="H171" s="49"/>
      <c r="I171" s="49"/>
      <c r="J171" s="49"/>
      <c r="K171" s="49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15.75" customHeight="1" spans="1:26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5"/>
      <c r="M172" s="45"/>
      <c r="N172" s="45"/>
      <c r="O172" s="45"/>
      <c r="P172" s="45"/>
      <c r="Q172" s="45"/>
      <c r="R172" s="45"/>
      <c r="S172" s="45"/>
      <c r="T172" s="45"/>
    </row>
    <row r="173" ht="15.75" customHeight="1" spans="1:26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5"/>
      <c r="M173" s="45"/>
      <c r="N173" s="45"/>
      <c r="O173" s="45"/>
      <c r="P173" s="45"/>
      <c r="Q173" s="45"/>
      <c r="R173" s="45"/>
      <c r="S173" s="45"/>
      <c r="T173" s="45"/>
    </row>
    <row r="174" ht="15.75" customHeight="1" spans="1:26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5"/>
      <c r="M174" s="45"/>
      <c r="N174" s="45"/>
      <c r="O174" s="45"/>
      <c r="P174" s="45"/>
      <c r="Q174" s="45"/>
      <c r="R174" s="45"/>
      <c r="S174" s="45"/>
      <c r="T174" s="45"/>
    </row>
    <row r="175" ht="15.75" customHeight="1" spans="1:26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5"/>
      <c r="M175" s="45"/>
      <c r="N175" s="45"/>
      <c r="O175" s="45"/>
      <c r="P175" s="45"/>
      <c r="Q175" s="45"/>
      <c r="R175" s="45"/>
      <c r="S175" s="45"/>
      <c r="T175" s="45"/>
    </row>
    <row r="176" ht="15.75" customHeight="1" spans="1:2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5.75" customHeight="1" spans="1:26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5.75" customHeight="1" spans="1:26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5.75" customHeight="1" spans="1:26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5.75" customHeight="1" spans="1:26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5.75" customHeight="1" spans="1:26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5.75" customHeight="1" spans="1:26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5.75" customHeight="1" spans="1:26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5.75" customHeight="1" spans="1:26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5.75" customHeight="1" spans="1:26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5.75" customHeight="1" spans="1:2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5.75" customHeight="1" spans="1:26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5.75" customHeight="1" spans="1:26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5.75" customHeight="1" spans="1:26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5.75" customHeight="1" spans="1:26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5.75" customHeight="1" spans="1:26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5.75" customHeight="1" spans="1:26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5.75" customHeight="1" spans="1:26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5.75" customHeight="1" spans="1:26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5.75" customHeight="1" spans="1:26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5.75" customHeight="1" spans="1:2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5.75" customHeight="1" spans="1:26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5.75" customHeight="1" spans="1:26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5.75" customHeight="1" spans="1:26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5.75" customHeight="1" spans="1:26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5.75" customHeight="1" spans="1:26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5.75" customHeight="1" spans="1:26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5.75" customHeight="1" spans="1:26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5.75" customHeight="1" spans="1:26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5.75" customHeight="1" spans="1:26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5.75" customHeight="1" spans="1:2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5.75" customHeight="1" spans="1:26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5.75" customHeight="1" spans="1:26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5.75" customHeight="1" spans="1:26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5.75" customHeight="1" spans="1:26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5.75" customHeight="1" spans="1:26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5.75" customHeight="1" spans="1:26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5.75" customHeight="1" spans="1:26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5.75" customHeight="1" spans="1:26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5.75" customHeight="1" spans="1:26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5.75" customHeight="1" spans="1:2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5.75" customHeight="1" spans="1:26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5.75" customHeight="1" spans="1:26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5.75" customHeight="1" spans="1:26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5.75" customHeight="1" spans="1:26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64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5.75" customHeight="1" spans="1:26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64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5.75" customHeight="1" spans="1:26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64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5.75" customHeight="1" spans="1:26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64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5.75" customHeight="1" spans="1:26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5.75" customHeight="1" spans="1:26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5.75" customHeight="1" spans="1: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5.75" customHeight="1" spans="1:26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5.75" customHeight="1" spans="1:26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5.75" customHeight="1" spans="1:26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5.75" customHeight="1" spans="1:26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5.75" customHeight="1" spans="1:26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5.75" customHeight="1" spans="1:26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5.75" customHeight="1" spans="1:26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5.75" customHeight="1" spans="1:26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5.75" customHeight="1" spans="1:26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5.75" customHeight="1" spans="1:2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5.75" customHeight="1" spans="1:26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5.75" customHeight="1" spans="1:26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5.75" customHeight="1" spans="1:26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5.75" customHeight="1" spans="1:26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5.75" customHeight="1" spans="1:26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5.75" customHeight="1" spans="1:26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5.75" customHeight="1" spans="1:26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5.75" customHeight="1" spans="1:26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5.75" customHeight="1" spans="1:26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5.75" customHeight="1" spans="1:2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5.75" customHeight="1" spans="1:26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5.75" customHeight="1" spans="1:26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5.75" customHeight="1" spans="1:26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5.75" customHeight="1" spans="1:26">
      <c r="A250" s="49"/>
      <c r="E250" s="49"/>
      <c r="F250" s="49"/>
      <c r="G250" s="49"/>
      <c r="H250" s="49"/>
      <c r="I250" s="49"/>
      <c r="J250" s="49"/>
      <c r="K250" s="49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5.75" customHeight="1" spans="1:26">
      <c r="A251" s="49"/>
      <c r="E251" s="49"/>
      <c r="F251" s="49"/>
      <c r="G251" s="49"/>
      <c r="H251" s="49"/>
      <c r="I251" s="49"/>
      <c r="J251" s="49"/>
      <c r="K251" s="49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5.75" customHeight="1" spans="1:26">
      <c r="A252" s="49"/>
      <c r="E252" s="49"/>
      <c r="F252" s="49"/>
      <c r="G252" s="49"/>
      <c r="H252" s="49"/>
      <c r="I252" s="49"/>
      <c r="J252" s="49"/>
      <c r="K252" s="49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5.75" customHeight="1" spans="1:26">
      <c r="A253" s="49"/>
      <c r="E253" s="49"/>
      <c r="F253" s="49"/>
      <c r="G253" s="49"/>
      <c r="H253" s="49"/>
      <c r="I253" s="49"/>
      <c r="J253" s="49"/>
      <c r="K253" s="49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5.75" customHeight="1" spans="1:26">
      <c r="A254" s="49"/>
      <c r="E254" s="49"/>
      <c r="F254" s="49"/>
      <c r="G254" s="49"/>
      <c r="H254" s="49"/>
      <c r="I254" s="49"/>
      <c r="J254" s="49"/>
      <c r="K254" s="49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5.75" customHeight="1" spans="1:26">
      <c r="A255" s="49"/>
      <c r="E255" s="49"/>
      <c r="F255" s="49"/>
      <c r="G255" s="49"/>
      <c r="H255" s="49"/>
      <c r="I255" s="49"/>
      <c r="J255" s="49"/>
      <c r="K255" s="49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5.75" customHeight="1" spans="1:26">
      <c r="A256" s="49"/>
      <c r="E256" s="49"/>
      <c r="F256" s="49"/>
      <c r="G256" s="49"/>
      <c r="H256" s="49"/>
      <c r="I256" s="49"/>
      <c r="J256" s="49"/>
      <c r="K256" s="49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5.75" customHeight="1" spans="1:26">
      <c r="A257" s="49"/>
      <c r="H257" s="64"/>
      <c r="I257" s="64"/>
      <c r="J257" s="64"/>
      <c r="K257" s="64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5.75" customHeight="1" spans="1:26">
      <c r="A258" s="64"/>
      <c r="H258" s="64"/>
      <c r="I258" s="64"/>
      <c r="J258" s="64"/>
      <c r="K258" s="64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5.75" customHeight="1" spans="1:26">
      <c r="A259" s="64"/>
      <c r="H259" s="64"/>
      <c r="I259" s="64"/>
      <c r="J259" s="64"/>
      <c r="K259" s="64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5.75" customHeight="1" spans="1:26">
      <c r="A260" s="64"/>
      <c r="H260" s="64"/>
      <c r="I260" s="64"/>
      <c r="J260" s="64"/>
      <c r="K260" s="64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5.75" customHeight="1" spans="1:26">
      <c r="A261" s="64"/>
      <c r="H261" s="64"/>
      <c r="I261" s="64"/>
      <c r="J261" s="64"/>
      <c r="K261" s="64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5.75" customHeight="1" spans="1:26">
      <c r="A262" s="64"/>
      <c r="H262" s="64"/>
      <c r="I262" s="64"/>
      <c r="J262" s="64"/>
      <c r="K262" s="64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5.75" customHeight="1" spans="1:26">
      <c r="A263" s="64"/>
      <c r="H263" s="64"/>
      <c r="I263" s="64"/>
      <c r="J263" s="64"/>
      <c r="K263" s="64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5.75" customHeight="1" spans="1:26">
      <c r="A264" s="64"/>
      <c r="H264" s="64"/>
      <c r="I264" s="64"/>
      <c r="J264" s="64"/>
      <c r="K264" s="64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5.75" customHeight="1" spans="1:26">
      <c r="A265" s="64"/>
      <c r="H265" s="64"/>
      <c r="I265" s="64"/>
      <c r="J265" s="64"/>
      <c r="K265" s="64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5.75" customHeight="1" spans="1:26">
      <c r="A266" s="64"/>
      <c r="H266" s="64"/>
      <c r="I266" s="64"/>
      <c r="J266" s="64"/>
      <c r="K266" s="64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5.75" customHeight="1" spans="1:26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5.75" customHeight="1" spans="1:26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5.75" customHeight="1" spans="1:26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5.75" customHeight="1" spans="1:26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5.75" customHeight="1" spans="1:26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5.75" customHeight="1" spans="1:26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5.75" customHeight="1" spans="1:26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5.75" customHeight="1" spans="1:26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5.75" customHeight="1" spans="1:26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5.75" customHeight="1" spans="1:2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5.75" customHeight="1" spans="1:26">
      <c r="A277" s="64"/>
      <c r="F277" s="64"/>
      <c r="G277" s="64"/>
      <c r="H277" s="64"/>
      <c r="I277" s="64"/>
      <c r="J277" s="64"/>
      <c r="K277" s="64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5.75" customHeight="1" spans="1:26">
      <c r="A278" s="64"/>
      <c r="G278" s="64"/>
      <c r="H278" s="64"/>
      <c r="I278" s="64"/>
      <c r="J278" s="64"/>
      <c r="K278" s="64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5.75" customHeight="1" spans="1:26">
      <c r="A279" s="64"/>
      <c r="G279" s="64"/>
      <c r="H279" s="64"/>
      <c r="I279" s="64"/>
      <c r="J279" s="64"/>
      <c r="K279" s="64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5.75" customHeight="1" spans="1:26">
      <c r="A280" s="64"/>
      <c r="G280" s="64"/>
      <c r="H280" s="64"/>
      <c r="I280" s="64"/>
      <c r="J280" s="64"/>
      <c r="K280" s="64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5.75" customHeight="1" spans="1:26">
      <c r="A281" s="64"/>
      <c r="G281" s="64"/>
      <c r="H281" s="64"/>
      <c r="I281" s="64"/>
      <c r="J281" s="64"/>
      <c r="K281" s="64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5.75" customHeight="1" spans="1:26">
      <c r="A282" s="64"/>
      <c r="G282" s="64"/>
      <c r="H282" s="64"/>
      <c r="I282" s="64"/>
      <c r="J282" s="64"/>
      <c r="K282" s="64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5.75" customHeight="1" spans="1:26">
      <c r="A283" s="64"/>
      <c r="G283" s="64"/>
      <c r="H283" s="64"/>
      <c r="I283" s="64"/>
      <c r="J283" s="64"/>
      <c r="K283" s="64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5.75" customHeight="1" spans="1:26">
      <c r="A284" s="64"/>
      <c r="G284" s="64"/>
      <c r="H284" s="64"/>
      <c r="I284" s="64"/>
      <c r="J284" s="64"/>
      <c r="K284" s="64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5.75" customHeight="1" spans="1:26">
      <c r="A285" s="64"/>
      <c r="G285" s="64"/>
      <c r="H285" s="64"/>
      <c r="I285" s="64"/>
      <c r="J285" s="64"/>
      <c r="K285" s="64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5.75" customHeight="1" spans="1:26">
      <c r="A286" s="64"/>
      <c r="G286" s="64"/>
      <c r="H286" s="64"/>
      <c r="I286" s="64"/>
      <c r="J286" s="64"/>
      <c r="K286" s="64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5.75" customHeight="1" spans="1:26">
      <c r="A287" s="64"/>
      <c r="G287" s="64"/>
      <c r="H287" s="64"/>
      <c r="I287" s="64"/>
      <c r="J287" s="64"/>
      <c r="K287" s="64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5.75" customHeight="1" spans="1:26">
      <c r="A288" s="64"/>
      <c r="G288" s="64"/>
      <c r="H288" s="64"/>
      <c r="I288" s="64"/>
      <c r="J288" s="64"/>
      <c r="K288" s="64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5.75" customHeight="1" spans="1:26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5.75" customHeight="1" spans="1:26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5.75" customHeight="1" spans="1:26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5.75" customHeight="1" spans="1:26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5.75" customHeight="1" spans="1:26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5.75" customHeight="1" spans="1:26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5.75" customHeight="1" spans="1:26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5.75" customHeight="1" spans="1:2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5.75" customHeight="1" spans="1:26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5.75" customHeight="1" spans="1:26">
      <c r="A298" s="64"/>
      <c r="B298" s="45"/>
      <c r="C298" s="45"/>
      <c r="D298" s="45"/>
      <c r="E298" s="45"/>
      <c r="F298" s="45"/>
      <c r="G298" s="45"/>
      <c r="H298" s="45"/>
      <c r="I298" s="45"/>
      <c r="J298" s="45"/>
      <c r="K298" s="64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5.75" customHeight="1" spans="1:26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5.75" customHeight="1" spans="1:26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5.75" customHeight="1" spans="1:26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5.75" customHeight="1" spans="1:26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5.75" customHeight="1" spans="1:26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5.75" customHeight="1" spans="1:26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5.75" customHeight="1" spans="1:26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5.75" customHeight="1" spans="1:2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5.75" customHeight="1" spans="1:26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5.75" customHeight="1" spans="1:26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5.75" customHeight="1" spans="1:26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5.75" customHeight="1" spans="1:26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5.75" customHeight="1" spans="1:26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5.75" customHeight="1" spans="1:26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5.75" customHeight="1" spans="1:26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5.75" customHeight="1" spans="1:26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5.75" customHeight="1" spans="1:26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5.75" customHeight="1" spans="1:2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5.75" customHeight="1" spans="1:26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5.75" customHeight="1" spans="1:26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5.75" customHeight="1" spans="1:26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5.75" customHeight="1" spans="1:26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5.75" customHeight="1" spans="1:26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5.75" customHeight="1" spans="1:26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5.75" customHeight="1" spans="1:26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5.75" customHeight="1" spans="1:26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5.75" customHeight="1" spans="1:26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5.75" customHeight="1" spans="1: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5.75" customHeight="1" spans="1:26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5.75" customHeight="1" spans="1:26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5.75" customHeight="1" spans="1:26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5.75" customHeight="1" spans="1:26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5.75" customHeight="1" spans="1:26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5.75" customHeight="1" spans="1:26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5.75" customHeight="1" spans="1:26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5.75" customHeight="1" spans="1:26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5.75" customHeight="1" spans="1:26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5.75" customHeight="1" spans="1:2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5.75" customHeight="1" spans="1:26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5.75" customHeight="1" spans="1:26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5.75" customHeight="1" spans="1:26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5.75" customHeight="1" spans="1:26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5.75" customHeight="1" spans="1:26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5.75" customHeight="1" spans="1:26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5.75" customHeight="1" spans="1:26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5.75" customHeight="1" spans="1:26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5.75" customHeight="1" spans="1:26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5.75" customHeight="1" spans="1:2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5.75" customHeight="1" spans="1:26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5.75" customHeight="1" spans="1:26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5.75" customHeight="1" spans="1:26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5.75" customHeight="1" spans="1:26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5.75" customHeight="1" spans="1:26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5.75" customHeight="1" spans="1:26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5.75" customHeight="1" spans="1:26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5.75" customHeight="1" spans="1:26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5.75" customHeight="1" spans="1:26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5.75" customHeight="1" spans="1:2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5.75" customHeight="1" spans="1:26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5.75" customHeight="1" spans="1:26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5.75" customHeight="1" spans="1:26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5.75" customHeight="1" spans="1:26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5.75" customHeight="1" spans="1:26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5.75" customHeight="1" spans="1:26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5.75" customHeight="1" spans="1:26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5.75" customHeight="1" spans="1:26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5.75" customHeight="1" spans="1:26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5.75" customHeight="1" spans="1:2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5.75" customHeight="1" spans="1:26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5.75" customHeight="1" spans="1:26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5.75" customHeight="1" spans="1:26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5.75" customHeight="1" spans="1:26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5.75" customHeight="1" spans="1:26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5.75" customHeight="1" spans="1:26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5.75" customHeight="1" spans="1:26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5.75" customHeight="1" spans="1:26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5.75" customHeight="1" spans="1:26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5.75" customHeight="1" spans="1:2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5.75" customHeight="1" spans="1:26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5.75" customHeight="1" spans="1:26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5.75" customHeight="1" spans="1:26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5.75" customHeight="1" spans="1:26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5.75" customHeight="1" spans="1:26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5.75" customHeight="1" spans="1:26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5.75" customHeight="1" spans="1:26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5.75" customHeight="1" spans="1:26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5.75" customHeight="1" spans="1:26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5.75" customHeight="1" spans="1:2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5.75" customHeight="1" spans="1:26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5.75" customHeight="1" spans="1:26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5.75" customHeight="1" spans="1:26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5.75" customHeight="1" spans="1:26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5.75" customHeight="1" spans="1:26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5.75" customHeight="1" spans="1:26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5.75" customHeight="1" spans="1:26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5.75" customHeight="1" spans="1:26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5.75" customHeight="1" spans="1:26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5.75" customHeight="1" spans="1:2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5.75" customHeight="1" spans="1:26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5.75" customHeight="1" spans="1:26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5.75" customHeight="1" spans="1:26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5.75" customHeight="1" spans="1:26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5.75" customHeight="1" spans="1:26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5.75" customHeight="1" spans="1:26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5.75" customHeight="1" spans="1:26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5.75" customHeight="1" spans="1:26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5.75" customHeight="1" spans="1:26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5.75" customHeight="1" spans="1:2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5.75" customHeight="1" spans="1:26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5.75" customHeight="1" spans="1:26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5.75" customHeight="1" spans="1:26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5.75" customHeight="1" spans="1:26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5.75" customHeight="1" spans="1:26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5.75" customHeight="1" spans="1:26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5.75" customHeight="1" spans="1:26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5.75" customHeight="1" spans="1:26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5.75" customHeight="1" spans="1:26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5.75" customHeight="1" spans="1:2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5.75" customHeight="1" spans="1:26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5.75" customHeight="1" spans="1:26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5.75" customHeight="1" spans="1:26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5.75" customHeight="1" spans="1:26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5.75" customHeight="1" spans="1:26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5.75" customHeight="1" spans="1:26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5.75" customHeight="1" spans="1:26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5.75" customHeight="1" spans="1:26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5.75" customHeight="1" spans="1:26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5.75" customHeight="1" spans="1: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5.75" customHeight="1" spans="1:26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5.75" customHeight="1" spans="1:26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5.75" customHeight="1" spans="1:26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5.75" customHeight="1" spans="1:26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5.75" customHeight="1" spans="1:26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5.75" customHeight="1" spans="1:26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5.75" customHeight="1" spans="1:26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5.75" customHeight="1" spans="1:26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5.75" customHeight="1" spans="1:26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5.75" customHeight="1" spans="1:2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5.75" customHeight="1" spans="1:26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5.75" customHeight="1" spans="1:26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5.75" customHeight="1" spans="1:26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5.75" customHeight="1" spans="1:26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5.75" customHeight="1" spans="1:26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5.75" customHeight="1" spans="1:26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5.75" customHeight="1" spans="1:26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5.75" customHeight="1" spans="1:26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5.75" customHeight="1" spans="1:26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5.75" customHeight="1" spans="1:2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5.75" customHeight="1" spans="1:26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5.75" customHeight="1" spans="1:26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5.75" customHeight="1" spans="1:26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5.75" customHeight="1" spans="1:26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5.75" customHeight="1" spans="1:26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5.75" customHeight="1" spans="1:26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5.75" customHeight="1" spans="1:26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5.75" customHeight="1" spans="1:26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5.75" customHeight="1" spans="1:26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5.75" customHeight="1" spans="1:2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5.75" customHeight="1" spans="1:26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5.75" customHeight="1" spans="1:26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5.75" customHeight="1" spans="1:26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5.75" customHeight="1" spans="1:26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5.75" customHeight="1" spans="1:26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5.75" customHeight="1" spans="1:26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5.75" customHeight="1" spans="1:26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5.75" customHeight="1" spans="1:26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5.75" customHeight="1" spans="1:26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5.75" customHeight="1" spans="1:2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5.75" customHeight="1" spans="1:26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5.75" customHeight="1" spans="1:26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5.75" customHeight="1" spans="1:26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5.75" customHeight="1" spans="1:26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5.75" customHeight="1" spans="1:26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5.75" customHeight="1" spans="1:26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5.75" customHeight="1" spans="1:26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5.75" customHeight="1" spans="1:26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5.75" customHeight="1" spans="1:26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5.75" customHeight="1" spans="1:2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5.75" customHeight="1" spans="1:26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5.75" customHeight="1" spans="1:26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5.75" customHeight="1" spans="1:26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5.75" customHeight="1" spans="1:26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5.75" customHeight="1" spans="1:26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5.75" customHeight="1" spans="1:26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5.75" customHeight="1" spans="1:26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5.75" customHeight="1" spans="1:26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5.75" customHeight="1" spans="1:26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5.75" customHeight="1" spans="1:2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5.75" customHeight="1" spans="1:26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5.75" customHeight="1" spans="1:26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5.75" customHeight="1" spans="1:26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5.75" customHeight="1" spans="1:26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5.75" customHeight="1" spans="1:26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5.75" customHeight="1" spans="1:26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5.75" customHeight="1" spans="1:26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5.75" customHeight="1" spans="1:26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5.75" customHeight="1" spans="1:26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5.75" customHeight="1" spans="1:2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5.75" customHeight="1" spans="1:26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5.75" customHeight="1" spans="1:26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5.75" customHeight="1" spans="1:26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5.75" customHeight="1" spans="1:26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5.75" customHeight="1" spans="1:26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5.75" customHeight="1" spans="1:26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5.75" customHeight="1" spans="1:26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5.75" customHeight="1" spans="1:26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5.75" customHeight="1" spans="1:26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5.75" customHeight="1" spans="1:2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5.75" customHeight="1" spans="1:26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5.75" customHeight="1" spans="1:26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5.75" customHeight="1" spans="1:26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5.75" customHeight="1" spans="1:26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5.75" customHeight="1" spans="1:26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5.75" customHeight="1" spans="1:26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5.75" customHeight="1" spans="1:26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5.75" customHeight="1" spans="1:26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5.75" customHeight="1" spans="1:26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5.75" customHeight="1" spans="1:2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5.75" customHeight="1" spans="1:26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5.75" customHeight="1" spans="1:26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5.75" customHeight="1" spans="1:26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5.75" customHeight="1" spans="1:26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5.75" customHeight="1" spans="1:26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5.75" customHeight="1" spans="1:26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5.75" customHeight="1" spans="1:26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5.75" customHeight="1" spans="1:26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5.75" customHeight="1" spans="1:26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5.75" customHeight="1" spans="1: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5.75" customHeight="1" spans="1:26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5.75" customHeight="1" spans="1:26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5.75" customHeight="1" spans="1:26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5.75" customHeight="1" spans="1:26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5.75" customHeight="1" spans="1:26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5.75" customHeight="1" spans="1:26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5.75" customHeight="1" spans="1:26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5.75" customHeight="1" spans="1:26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5.75" customHeight="1" spans="1:26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5.75" customHeight="1" spans="1:2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5.75" customHeight="1" spans="1:26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5.75" customHeight="1" spans="1:26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5.75" customHeight="1" spans="1:26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5.75" customHeight="1" spans="1:26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5.75" customHeight="1" spans="1:26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5.75" customHeight="1" spans="1:26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5.75" customHeight="1" spans="1:26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5.75" customHeight="1" spans="1:26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5.75" customHeight="1" spans="1:26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5.75" customHeight="1" spans="1:2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5.75" customHeight="1" spans="1:26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5.75" customHeight="1" spans="1:26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5.75" customHeight="1" spans="1:26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5.75" customHeight="1" spans="1:26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5.75" customHeight="1" spans="1:26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5.75" customHeight="1" spans="1:26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5.75" customHeight="1" spans="1:26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5.75" customHeight="1" spans="1:26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5.75" customHeight="1" spans="1:26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5.75" customHeight="1" spans="1:2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5.75" customHeight="1" spans="1:26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5.75" customHeight="1" spans="1:26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5.75" customHeight="1" spans="1:26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5.75" customHeight="1" spans="1:26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5.75" customHeight="1" spans="1:26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5.75" customHeight="1" spans="1:26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5.75" customHeight="1" spans="1:26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5.75" customHeight="1" spans="1:26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5.75" customHeight="1" spans="1:26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5.75" customHeight="1" spans="1:2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5.75" customHeight="1" spans="1:26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5.75" customHeight="1" spans="1:26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5.75" customHeight="1" spans="1:26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5.75" customHeight="1" spans="1:26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5.75" customHeight="1" spans="1:26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5.75" customHeight="1" spans="1:26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5.75" customHeight="1" spans="1:26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5.75" customHeight="1" spans="1:26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5.75" customHeight="1" spans="1:26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5.75" customHeight="1" spans="1:2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5.75" customHeight="1" spans="1:26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5.75" customHeight="1" spans="1:26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5.75" customHeight="1" spans="1:26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5.75" customHeight="1" spans="1:26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5.75" customHeight="1" spans="1:26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5.75" customHeight="1" spans="1:26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5.75" customHeight="1" spans="1:26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5.75" customHeight="1" spans="1:26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5.75" customHeight="1" spans="1:26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5.75" customHeight="1" spans="1:2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5.75" customHeight="1" spans="1:26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5.75" customHeight="1" spans="1:26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5.75" customHeight="1" spans="1:26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5.75" customHeight="1" spans="1:26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5.75" customHeight="1" spans="1:26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5.75" customHeight="1" spans="1:26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5.75" customHeight="1" spans="1:26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5.75" customHeight="1" spans="1:26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5.75" customHeight="1" spans="1:26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5.75" customHeight="1" spans="1:2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5.75" customHeight="1" spans="1:26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5.75" customHeight="1" spans="1:26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5.75" customHeight="1" spans="1:26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5.75" customHeight="1" spans="1:26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5.75" customHeight="1" spans="1:26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5.75" customHeight="1" spans="1:26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5.75" customHeight="1" spans="1:26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5.75" customHeight="1" spans="1:26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5.75" customHeight="1" spans="1:26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5.75" customHeight="1" spans="1:2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5.75" customHeight="1" spans="1:26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5.75" customHeight="1" spans="1:26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5.75" customHeight="1" spans="1:26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5.75" customHeight="1" spans="1:26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5.75" customHeight="1" spans="1:26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5.75" customHeight="1" spans="1:26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5.75" customHeight="1" spans="1:26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5.75" customHeight="1" spans="1:26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5.75" customHeight="1" spans="1:26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5.75" customHeight="1" spans="1:2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5.75" customHeight="1" spans="1:26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5.75" customHeight="1" spans="1:26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5.75" customHeight="1" spans="1:26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5.75" customHeight="1" spans="1:26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5.75" customHeight="1" spans="1:26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5.75" customHeight="1" spans="1:26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5.75" customHeight="1" spans="1:26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5.75" customHeight="1" spans="1:26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5.75" customHeight="1" spans="1:26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5.75" customHeight="1" spans="1: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5.75" customHeight="1" spans="1:26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5.75" customHeight="1" spans="1:26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5.75" customHeight="1" spans="1:26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5.75" customHeight="1" spans="1:26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5.75" customHeight="1" spans="1:26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5.75" customHeight="1" spans="1:26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5.75" customHeight="1" spans="1:26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5.75" customHeight="1" spans="1:26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5.75" customHeight="1" spans="1:26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5.75" customHeight="1" spans="1:2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5.75" customHeight="1" spans="1:26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5.75" customHeight="1" spans="1:26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5.75" customHeight="1" spans="1:26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5.75" customHeight="1" spans="1:26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5.75" customHeight="1" spans="1:26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5.75" customHeight="1" spans="1:26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5.75" customHeight="1" spans="1:26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5.75" customHeight="1" spans="1:26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5.75" customHeight="1" spans="1:26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5.75" customHeight="1" spans="1:2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5.75" customHeight="1" spans="1:26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5.75" customHeight="1" spans="1:26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5.75" customHeight="1" spans="1:26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5.75" customHeight="1" spans="1:26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5.75" customHeight="1" spans="1:26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5.75" customHeight="1" spans="1:26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5.75" customHeight="1" spans="1:26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5.75" customHeight="1" spans="1:26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5.75" customHeight="1" spans="1:26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5.75" customHeight="1" spans="1:2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5.75" customHeight="1" spans="1:26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5.75" customHeight="1" spans="1:26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5.75" customHeight="1" spans="1:26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5.75" customHeight="1" spans="1:26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5.75" customHeight="1" spans="1:26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5.75" customHeight="1" spans="1:26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5.75" customHeight="1" spans="1:26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5.75" customHeight="1" spans="1:26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5.75" customHeight="1" spans="1:26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5.75" customHeight="1" spans="1:2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5.75" customHeight="1" spans="1:26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5.75" customHeight="1" spans="1:26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5.75" customHeight="1" spans="1:26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5.75" customHeight="1" spans="1:26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5.75" customHeight="1" spans="1:26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5.75" customHeight="1" spans="1:26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5.75" customHeight="1" spans="1:26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5.75" customHeight="1" spans="1:26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5.75" customHeight="1" spans="1:26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5.75" customHeight="1" spans="1:2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5.75" customHeight="1" spans="1:26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5.75" customHeight="1" spans="1:26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5.75" customHeight="1" spans="1:26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5.75" customHeight="1" spans="1:26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5.75" customHeight="1" spans="1:26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5.75" customHeight="1" spans="1:26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5.75" customHeight="1" spans="1:26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5.75" customHeight="1" spans="1:26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5.75" customHeight="1" spans="1:26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5.75" customHeight="1" spans="1:2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5.75" customHeight="1" spans="1:26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5.75" customHeight="1" spans="1:26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5.75" customHeight="1" spans="1:26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5.75" customHeight="1" spans="1:26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5.75" customHeight="1" spans="1:26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5.75" customHeight="1" spans="1:26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5.75" customHeight="1" spans="1:26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5.75" customHeight="1" spans="1:26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5.75" customHeight="1" spans="1:26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5.75" customHeight="1" spans="1:2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5.75" customHeight="1" spans="1:26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5.75" customHeight="1" spans="1:26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5.75" customHeight="1" spans="1:26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5.75" customHeight="1" spans="1:26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5.75" customHeight="1" spans="1:26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5.75" customHeight="1" spans="1:26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5.75" customHeight="1" spans="1:26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5.75" customHeight="1" spans="1:26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5.75" customHeight="1" spans="1:26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5.75" customHeight="1" spans="1:2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5.75" customHeight="1" spans="1:26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5.75" customHeight="1" spans="1:26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5.75" customHeight="1" spans="1:26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5.75" customHeight="1" spans="1:26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5.75" customHeight="1" spans="1:26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5.75" customHeight="1" spans="1:26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5.75" customHeight="1" spans="1:26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5.75" customHeight="1" spans="1:26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5.75" customHeight="1" spans="1:26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5.75" customHeight="1" spans="1:2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5.75" customHeight="1" spans="1:26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5.75" customHeight="1" spans="1:26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5.75" customHeight="1" spans="1:26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5.75" customHeight="1" spans="1:26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5.75" customHeight="1" spans="1:26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5.75" customHeight="1" spans="1:26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5.75" customHeight="1" spans="1:26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5.75" customHeight="1" spans="1:26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5.75" customHeight="1" spans="1:26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5.75" customHeight="1" spans="1: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5.75" customHeight="1" spans="1:26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5.75" customHeight="1" spans="1:26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5.75" customHeight="1" spans="1:26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5.75" customHeight="1" spans="1:26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5.75" customHeight="1" spans="1:26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5.75" customHeight="1" spans="1:26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5.75" customHeight="1" spans="1:26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5.75" customHeight="1" spans="1:26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5.75" customHeight="1" spans="1:26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5.75" customHeight="1" spans="1:2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5.75" customHeight="1" spans="1:26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5.75" customHeight="1" spans="1:26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5.75" customHeight="1" spans="1:26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5.75" customHeight="1" spans="1:26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5.75" customHeight="1" spans="1:26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5.75" customHeight="1" spans="1:26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5.75" customHeight="1" spans="1:26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5.75" customHeight="1" spans="1:26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5.75" customHeight="1" spans="1:26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5.75" customHeight="1" spans="1:2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5.75" customHeight="1" spans="1:26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5.75" customHeight="1" spans="1:26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5.75" customHeight="1" spans="1:26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5.75" customHeight="1" spans="1:26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5.75" customHeight="1" spans="1:26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5.75" customHeight="1" spans="1:26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5.75" customHeight="1" spans="1:26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5.75" customHeight="1" spans="1:26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5.75" customHeight="1" spans="1:26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5.75" customHeight="1" spans="1:2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5.75" customHeight="1" spans="1:26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5.75" customHeight="1" spans="1:26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5.75" customHeight="1" spans="1:26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5.75" customHeight="1" spans="1:26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5.75" customHeight="1" spans="1:26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5.75" customHeight="1" spans="1:26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5.75" customHeight="1" spans="1:26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5.75" customHeight="1" spans="1:26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5.75" customHeight="1" spans="1:26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5.75" customHeight="1" spans="1:2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5.75" customHeight="1" spans="1:26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5.75" customHeight="1" spans="1:26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5.75" customHeight="1" spans="1:26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5.75" customHeight="1" spans="1:26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5.75" customHeight="1" spans="1:26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5.75" customHeight="1" spans="1:26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5.75" customHeight="1" spans="1:26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5.75" customHeight="1" spans="1:26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5.75" customHeight="1" spans="1:26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5.75" customHeight="1" spans="1:2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5.75" customHeight="1" spans="1:26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5.75" customHeight="1" spans="1:26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5.75" customHeight="1" spans="1:26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5.75" customHeight="1" spans="1:26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5.75" customHeight="1" spans="1:26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5.75" customHeight="1" spans="1:26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5.75" customHeight="1" spans="1:26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5.75" customHeight="1" spans="1:26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5.75" customHeight="1" spans="1:26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5.75" customHeight="1" spans="1:2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5.75" customHeight="1" spans="1:26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5.75" customHeight="1" spans="1:26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5.75" customHeight="1" spans="1:26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5.75" customHeight="1" spans="1:26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5.75" customHeight="1" spans="1:26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5.75" customHeight="1" spans="1:26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5.75" customHeight="1" spans="1:26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5.75" customHeight="1" spans="1:26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5.75" customHeight="1" spans="1:26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5.75" customHeight="1" spans="1:2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5.75" customHeight="1" spans="1:26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5.75" customHeight="1" spans="1:26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5.75" customHeight="1" spans="1:26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5.75" customHeight="1" spans="1:26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5.75" customHeight="1" spans="1:26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5.75" customHeight="1" spans="1:26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5.75" customHeight="1" spans="1:26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5.75" customHeight="1" spans="1:26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5.75" customHeight="1" spans="1:26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5.75" customHeight="1" spans="1:2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5.75" customHeight="1" spans="1:26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5.75" customHeight="1" spans="1:26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5.75" customHeight="1" spans="1:26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5.75" customHeight="1" spans="1:26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5.75" customHeight="1" spans="1:26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5.75" customHeight="1" spans="1:26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5.75" customHeight="1" spans="1:26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5.75" customHeight="1" spans="1:26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5.75" customHeight="1" spans="1:26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5.75" customHeight="1" spans="1:2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5.75" customHeight="1" spans="1:26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5.75" customHeight="1" spans="1:26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5.75" customHeight="1" spans="1:26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5.75" customHeight="1" spans="1:26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5.75" customHeight="1" spans="1:26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5.75" customHeight="1" spans="1:26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5.75" customHeight="1" spans="1:26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5.75" customHeight="1" spans="1:26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5.75" customHeight="1" spans="1:26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5.75" customHeight="1" spans="1: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5.75" customHeight="1" spans="1:26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5.75" customHeight="1" spans="1:26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5.75" customHeight="1" spans="1:26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5.75" customHeight="1" spans="1:26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5.75" customHeight="1" spans="1:26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5.75" customHeight="1" spans="1:26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5.75" customHeight="1" spans="1:26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5.75" customHeight="1" spans="1:26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5.75" customHeight="1" spans="1:26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5.75" customHeight="1" spans="1:2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5.75" customHeight="1" spans="1:26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5.75" customHeight="1" spans="1:26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5.75" customHeight="1" spans="1:26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5.75" customHeight="1" spans="1:26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5.75" customHeight="1" spans="1:26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5.75" customHeight="1" spans="1:26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5.75" customHeight="1" spans="1:26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5.75" customHeight="1" spans="1:26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5.75" customHeight="1" spans="1:26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5.75" customHeight="1" spans="1:2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5.75" customHeight="1" spans="1:26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5.75" customHeight="1" spans="1:26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5.75" customHeight="1" spans="1:26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5.75" customHeight="1" spans="1:26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5.75" customHeight="1" spans="1:26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5.75" customHeight="1" spans="1:26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5.75" customHeight="1" spans="1:26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5.75" customHeight="1" spans="1:26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5.75" customHeight="1" spans="1:26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5.75" customHeight="1" spans="1:2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5.75" customHeight="1" spans="1:26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5.75" customHeight="1" spans="1:26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5.75" customHeight="1" spans="1:26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5.75" customHeight="1" spans="1:26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5.75" customHeight="1" spans="1:26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5.75" customHeight="1" spans="1:26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5.75" customHeight="1" spans="1:26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5.75" customHeight="1" spans="1:26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5.75" customHeight="1" spans="1:26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5.75" customHeight="1" spans="1:2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5.75" customHeight="1" spans="1:26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5.75" customHeight="1" spans="1:26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5.75" customHeight="1" spans="1:26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5.75" customHeight="1" spans="1:26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5.75" customHeight="1" spans="1:26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5.75" customHeight="1" spans="1:26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5.75" customHeight="1" spans="1:26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5.75" customHeight="1" spans="1:26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5.75" customHeight="1" spans="1:26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5.75" customHeight="1" spans="1:2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5.75" customHeight="1" spans="1:26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5.75" customHeight="1" spans="1:26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5.75" customHeight="1" spans="1:26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5.75" customHeight="1" spans="1:26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5.75" customHeight="1" spans="1:26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5.75" customHeight="1" spans="1:26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5.75" customHeight="1" spans="1:26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5.75" customHeight="1" spans="1:26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5.75" customHeight="1" spans="1:26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5.75" customHeight="1" spans="1:2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5.75" customHeight="1" spans="1:26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5.75" customHeight="1" spans="1:26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5.75" customHeight="1" spans="1:26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5.75" customHeight="1" spans="1:26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5.75" customHeight="1" spans="1:26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5.75" customHeight="1" spans="1:26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5.75" customHeight="1" spans="1:26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5.75" customHeight="1" spans="1:26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5.75" customHeight="1" spans="1:26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5.75" customHeight="1" spans="1:2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5.75" customHeight="1" spans="1:26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5.75" customHeight="1" spans="1:26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5.75" customHeight="1" spans="1:26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5.75" customHeight="1" spans="1:26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5.75" customHeight="1" spans="1:26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5.75" customHeight="1" spans="1:26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5.75" customHeight="1" spans="1:26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5.75" customHeight="1" spans="1:26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5.75" customHeight="1" spans="1:26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5.75" customHeight="1" spans="1:2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5.75" customHeight="1" spans="1:26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5.75" customHeight="1" spans="1:26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5.75" customHeight="1" spans="1:26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5.75" customHeight="1" spans="1:26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5.75" customHeight="1" spans="1:26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5.75" customHeight="1" spans="1:26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5.75" customHeight="1" spans="1:26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5.75" customHeight="1" spans="1:26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5.75" customHeight="1" spans="1:26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5.75" customHeight="1" spans="1:2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5.75" customHeight="1" spans="1:26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5.75" customHeight="1" spans="1:26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5.75" customHeight="1" spans="1:26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5.75" customHeight="1" spans="1:26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5.75" customHeight="1" spans="1:26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5.75" customHeight="1" spans="1:26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5.75" customHeight="1" spans="1:26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5.75" customHeight="1" spans="1:26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5.75" customHeight="1" spans="1:26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5.75" customHeight="1" spans="1: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5.75" customHeight="1" spans="1:26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5.75" customHeight="1" spans="1:26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5.75" customHeight="1" spans="1:26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5.75" customHeight="1" spans="1:26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5.75" customHeight="1" spans="1:26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5.75" customHeight="1" spans="1:26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5.75" customHeight="1" spans="1:26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5.75" customHeight="1" spans="1:26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5.75" customHeight="1" spans="1:26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5.75" customHeight="1" spans="1:2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5.75" customHeight="1" spans="1:26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5.75" customHeight="1" spans="1:26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5.75" customHeight="1" spans="1:26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5.75" customHeight="1" spans="1:26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5.75" customHeight="1" spans="1:26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5.75" customHeight="1" spans="1:26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5.75" customHeight="1" spans="1:26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5.75" customHeight="1" spans="1:26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5.75" customHeight="1" spans="1:26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5.75" customHeight="1" spans="1:2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5.75" customHeight="1" spans="1:26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5.75" customHeight="1" spans="1:26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5.75" customHeight="1" spans="1:26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5.75" customHeight="1" spans="1:26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5.75" customHeight="1" spans="1:26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5.75" customHeight="1" spans="1:26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5.75" customHeight="1" spans="1:26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5.75" customHeight="1" spans="1:26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5.75" customHeight="1" spans="1:26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5.75" customHeight="1" spans="1:2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5.75" customHeight="1" spans="1:26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5.75" customHeight="1" spans="1:26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5.75" customHeight="1" spans="1:26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5.75" customHeight="1" spans="1:26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5.75" customHeight="1" spans="1:26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5.75" customHeight="1" spans="1:26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5.75" customHeight="1" spans="1:26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5.75" customHeight="1" spans="1:26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5.75" customHeight="1" spans="1:26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5.75" customHeight="1" spans="1:2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5.75" customHeight="1" spans="1:26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5.75" customHeight="1" spans="1:26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5.75" customHeight="1" spans="1:26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5.75" customHeight="1" spans="1:26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5.75" customHeight="1" spans="1:26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5.75" customHeight="1" spans="1:26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5.75" customHeight="1" spans="1:26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5.75" customHeight="1" spans="1:26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5.75" customHeight="1" spans="1:26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5.75" customHeight="1" spans="1:2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5.75" customHeight="1" spans="1:26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5.75" customHeight="1" spans="1:26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5.75" customHeight="1" spans="1:26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5.75" customHeight="1" spans="1:26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5.75" customHeight="1" spans="1:26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5.75" customHeight="1" spans="1:26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5.75" customHeight="1" spans="1:26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5.75" customHeight="1" spans="1:26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5.75" customHeight="1" spans="1:26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5.75" customHeight="1" spans="1:2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5.75" customHeight="1" spans="1:26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5.75" customHeight="1" spans="1:26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5.75" customHeight="1" spans="1:26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5.75" customHeight="1" spans="1:26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5.75" customHeight="1" spans="1:26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5.75" customHeight="1" spans="1:26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5.75" customHeight="1" spans="1:26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5.75" customHeight="1" spans="1:26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5.75" customHeight="1" spans="1:26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5.75" customHeight="1" spans="1:2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5.75" customHeight="1" spans="1:26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5.75" customHeight="1" spans="1:26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5.75" customHeight="1" spans="1:26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5.75" customHeight="1" spans="1:26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 ht="15.75" customHeight="1" spans="1:26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 ht="15.75" customHeight="1" spans="1:26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</row>
    <row r="1003" ht="15.75" customHeight="1" spans="1:26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</row>
    <row r="1004" ht="15.75" customHeight="1" spans="1:26">
      <c r="A1004" s="45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</row>
    <row r="1005" ht="15.75" customHeight="1" spans="1:26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</row>
    <row r="1006" ht="15.75" customHeight="1" spans="1:26">
      <c r="A1006" s="45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</row>
    <row r="1007" ht="15.75" customHeight="1" spans="1:26">
      <c r="A1007" s="45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</row>
    <row r="1008" ht="15.75" customHeight="1" spans="1:26">
      <c r="A1008" s="45"/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</row>
    <row r="1009" ht="15.75" customHeight="1" spans="1:26">
      <c r="A1009" s="45"/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</row>
    <row r="1010" ht="15.75" customHeight="1" spans="1:26">
      <c r="A1010" s="45"/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</row>
    <row r="1011" ht="15.75" customHeight="1" spans="1:26">
      <c r="A1011" s="45"/>
      <c r="B1011" s="45"/>
      <c r="C1011" s="45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</row>
    <row r="1012" ht="15.75" customHeight="1" spans="1:26">
      <c r="A1012" s="45"/>
      <c r="B1012" s="45"/>
      <c r="C1012" s="45"/>
      <c r="D1012" s="45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</row>
    <row r="1013" ht="15.75" customHeight="1" spans="1:26">
      <c r="A1013" s="45"/>
      <c r="B1013" s="45"/>
      <c r="C1013" s="45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</row>
    <row r="1014" ht="15.75" customHeight="1" spans="1:26">
      <c r="A1014" s="45"/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</row>
    <row r="1015" ht="15.75" customHeight="1" spans="1:26">
      <c r="A1015" s="45"/>
      <c r="B1015" s="45"/>
      <c r="C1015" s="45"/>
      <c r="D1015" s="45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</row>
    <row r="1016" ht="15.75" customHeight="1" spans="1:26">
      <c r="A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</row>
  </sheetData>
  <mergeCells count="2">
    <mergeCell ref="L3:M3"/>
    <mergeCell ref="L22:M22"/>
  </mergeCells>
  <hyperlinks>
    <hyperlink ref="B155" r:id="rId1" display="https://gitlab.widosoft.com/wido-chat-app-ms/chat-app-all-tasks/-/work_items/2007"/>
    <hyperlink ref="B156" r:id="rId2" display="https://gitlab.widosoft.com/wido-chat-app-ms/ms-system/love-friend-android/-/work_items/350"/>
    <hyperlink ref="B157" r:id="rId3" display="https://gitlab.widosoft.com/wido-chat-app-ms/ms-system/neighbor-pairs/-/work_items/353"/>
    <hyperlink ref="B6" r:id="rId4" display="https://gitlab.widosoft.com/wido-chat-app-ms/chat-app-all-tasks/-/work_items/1901"/>
  </hyperlinks>
  <pageMargins left="0" right="0" top="0" bottom="0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982"/>
  <sheetViews>
    <sheetView zoomScale="85" zoomScaleNormal="85" topLeftCell="A25" workbookViewId="0">
      <selection activeCell="A57" sqref="A57:I57"/>
    </sheetView>
  </sheetViews>
  <sheetFormatPr defaultColWidth="12.7142857142857" defaultRowHeight="15" customHeight="1"/>
  <cols>
    <col min="1" max="1" width="9.42857142857143" customWidth="1"/>
    <col min="2" max="2" width="18.7142857142857" customWidth="1"/>
    <col min="3" max="3" width="19.8571428571429" customWidth="1"/>
    <col min="4" max="4" width="22.1428571428571" customWidth="1"/>
    <col min="5" max="5" width="10.1428571428571" customWidth="1"/>
    <col min="6" max="6" width="12.7142857142857" customWidth="1"/>
    <col min="8" max="8" width="5.14285714285714" customWidth="1"/>
    <col min="9" max="9" width="23.7142857142857" customWidth="1"/>
  </cols>
  <sheetData>
    <row r="1" ht="20.25" spans="1:27">
      <c r="A1" s="1" t="s">
        <v>126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75" spans="1:2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75" spans="1:27">
      <c r="A3" s="4" t="s">
        <v>127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2.75" spans="1:27">
      <c r="A4" s="4" t="s">
        <v>128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2.75" spans="1:27">
      <c r="A5" s="5"/>
      <c r="B5" s="5"/>
      <c r="C5" s="5"/>
      <c r="D5" s="5"/>
      <c r="E5" s="5"/>
      <c r="F5" s="5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75" spans="1:27">
      <c r="A6" s="6" t="s">
        <v>129</v>
      </c>
      <c r="B6" s="7"/>
      <c r="C6" s="8" t="s">
        <v>130</v>
      </c>
      <c r="D6" s="6" t="s">
        <v>131</v>
      </c>
      <c r="E6" s="9"/>
      <c r="F6" s="9"/>
      <c r="G6" s="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2.75" spans="1:27">
      <c r="A7" s="10" t="s">
        <v>132</v>
      </c>
      <c r="B7" s="7"/>
      <c r="C7" s="11" t="s">
        <v>133</v>
      </c>
      <c r="D7" s="10" t="s">
        <v>134</v>
      </c>
      <c r="E7" s="9"/>
      <c r="F7" s="9"/>
      <c r="G7" s="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75" spans="1:27">
      <c r="A8" s="10" t="s">
        <v>135</v>
      </c>
      <c r="B8" s="7"/>
      <c r="C8" s="11" t="s">
        <v>136</v>
      </c>
      <c r="D8" s="10" t="s">
        <v>137</v>
      </c>
      <c r="E8" s="9"/>
      <c r="F8" s="9"/>
      <c r="G8" s="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75" spans="1:27">
      <c r="A9" s="10" t="s">
        <v>138</v>
      </c>
      <c r="B9" s="7"/>
      <c r="C9" s="12" t="s">
        <v>139</v>
      </c>
      <c r="D9" s="10" t="s">
        <v>140</v>
      </c>
      <c r="E9" s="9"/>
      <c r="F9" s="9"/>
      <c r="G9" s="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75" spans="1:27">
      <c r="A10" s="10" t="s">
        <v>141</v>
      </c>
      <c r="B10" s="7"/>
      <c r="C10" s="13" t="s">
        <v>142</v>
      </c>
      <c r="D10" s="10" t="s">
        <v>143</v>
      </c>
      <c r="E10" s="9"/>
      <c r="F10" s="9"/>
      <c r="G10" s="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75" spans="1:27">
      <c r="A11" s="10" t="s">
        <v>144</v>
      </c>
      <c r="B11" s="7"/>
      <c r="C11" s="13" t="s">
        <v>145</v>
      </c>
      <c r="D11" s="10" t="s">
        <v>146</v>
      </c>
      <c r="E11" s="9"/>
      <c r="F11" s="9"/>
      <c r="G11" s="7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75" spans="1:27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75" spans="1:27">
      <c r="A13" s="14"/>
      <c r="B13" s="14"/>
      <c r="C13" s="14"/>
      <c r="D13" s="14"/>
      <c r="E13" s="14"/>
      <c r="F13" s="14"/>
      <c r="G13" s="14"/>
      <c r="H13" s="14"/>
      <c r="I13" s="1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75" spans="1:27">
      <c r="A14" s="15" t="s">
        <v>147</v>
      </c>
      <c r="B14" s="16" t="s">
        <v>148</v>
      </c>
      <c r="C14" s="16" t="s">
        <v>149</v>
      </c>
      <c r="D14" s="16" t="s">
        <v>150</v>
      </c>
      <c r="E14" s="16" t="s">
        <v>151</v>
      </c>
      <c r="F14" s="16" t="s">
        <v>152</v>
      </c>
      <c r="G14" s="16" t="s">
        <v>153</v>
      </c>
      <c r="H14" s="17" t="s">
        <v>154</v>
      </c>
      <c r="I14" s="18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>
      <c r="A15" s="19">
        <v>1</v>
      </c>
      <c r="B15" s="20" t="s">
        <v>155</v>
      </c>
      <c r="C15" s="21" t="s">
        <v>45</v>
      </c>
      <c r="D15" s="22" t="s">
        <v>156</v>
      </c>
      <c r="E15" s="23">
        <v>0.25</v>
      </c>
      <c r="F15" s="24"/>
      <c r="G15" s="23"/>
      <c r="H15" s="25">
        <v>1</v>
      </c>
      <c r="I15" s="26" t="s">
        <v>157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>
      <c r="A16" s="27"/>
      <c r="B16" s="27"/>
      <c r="C16" s="28"/>
      <c r="D16" s="28"/>
      <c r="E16" s="28"/>
      <c r="F16" s="28"/>
      <c r="G16" s="28"/>
      <c r="H16" s="29">
        <v>2</v>
      </c>
      <c r="I16" s="26" t="s">
        <v>158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>
      <c r="A17" s="27"/>
      <c r="B17" s="27"/>
      <c r="C17" s="28"/>
      <c r="D17" s="28"/>
      <c r="E17" s="28"/>
      <c r="F17" s="28"/>
      <c r="G17" s="28"/>
      <c r="H17" s="29">
        <v>3</v>
      </c>
      <c r="I17" s="26" t="s">
        <v>159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>
      <c r="A18" s="27"/>
      <c r="B18" s="27"/>
      <c r="C18" s="28"/>
      <c r="D18" s="28"/>
      <c r="E18" s="28"/>
      <c r="F18" s="28"/>
      <c r="G18" s="28"/>
      <c r="H18" s="29">
        <v>4</v>
      </c>
      <c r="I18" s="26" t="s">
        <v>160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>
      <c r="A19" s="30"/>
      <c r="B19" s="27"/>
      <c r="C19" s="18"/>
      <c r="D19" s="18"/>
      <c r="E19" s="18"/>
      <c r="F19" s="18"/>
      <c r="G19" s="18"/>
      <c r="H19" s="29">
        <v>5</v>
      </c>
      <c r="I19" s="26" t="s">
        <v>161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>
      <c r="A20" s="19">
        <v>2</v>
      </c>
      <c r="B20" s="27"/>
      <c r="C20" s="21" t="s">
        <v>162</v>
      </c>
      <c r="D20" s="22" t="s">
        <v>156</v>
      </c>
      <c r="E20" s="23">
        <v>0.25</v>
      </c>
      <c r="F20" s="24"/>
      <c r="G20" s="23"/>
      <c r="H20" s="25">
        <v>1</v>
      </c>
      <c r="I20" s="26" t="s">
        <v>157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>
      <c r="A21" s="27"/>
      <c r="B21" s="27"/>
      <c r="C21" s="28"/>
      <c r="D21" s="28"/>
      <c r="E21" s="28"/>
      <c r="F21" s="28"/>
      <c r="G21" s="28"/>
      <c r="H21" s="29">
        <v>2</v>
      </c>
      <c r="I21" s="26" t="s">
        <v>158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>
      <c r="A22" s="27"/>
      <c r="B22" s="27"/>
      <c r="C22" s="28"/>
      <c r="D22" s="28"/>
      <c r="E22" s="28"/>
      <c r="F22" s="28"/>
      <c r="G22" s="28"/>
      <c r="H22" s="29">
        <v>3</v>
      </c>
      <c r="I22" s="26" t="s">
        <v>159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>
      <c r="A23" s="27"/>
      <c r="B23" s="27"/>
      <c r="C23" s="28"/>
      <c r="D23" s="28"/>
      <c r="E23" s="28"/>
      <c r="F23" s="28"/>
      <c r="G23" s="28"/>
      <c r="H23" s="29">
        <v>4</v>
      </c>
      <c r="I23" s="26" t="s">
        <v>160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>
      <c r="A24" s="30"/>
      <c r="B24" s="27"/>
      <c r="C24" s="18"/>
      <c r="D24" s="18"/>
      <c r="E24" s="18"/>
      <c r="F24" s="18"/>
      <c r="G24" s="18"/>
      <c r="H24" s="29">
        <v>5</v>
      </c>
      <c r="I24" s="26" t="s">
        <v>161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>
      <c r="A25" s="19">
        <v>3</v>
      </c>
      <c r="B25" s="27"/>
      <c r="C25" s="21" t="s">
        <v>43</v>
      </c>
      <c r="D25" s="22" t="s">
        <v>156</v>
      </c>
      <c r="E25" s="23">
        <v>0.25</v>
      </c>
      <c r="F25" s="24"/>
      <c r="G25" s="23"/>
      <c r="H25" s="25">
        <v>1</v>
      </c>
      <c r="I25" s="26" t="s">
        <v>157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>
      <c r="A26" s="27"/>
      <c r="B26" s="27"/>
      <c r="C26" s="28"/>
      <c r="D26" s="28"/>
      <c r="E26" s="28"/>
      <c r="F26" s="28"/>
      <c r="G26" s="28"/>
      <c r="H26" s="29">
        <v>2</v>
      </c>
      <c r="I26" s="26" t="s">
        <v>158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>
      <c r="A27" s="27"/>
      <c r="B27" s="27"/>
      <c r="C27" s="28"/>
      <c r="D27" s="28"/>
      <c r="E27" s="28"/>
      <c r="F27" s="28"/>
      <c r="G27" s="28"/>
      <c r="H27" s="29">
        <v>3</v>
      </c>
      <c r="I27" s="26" t="s">
        <v>159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>
      <c r="A28" s="27"/>
      <c r="B28" s="27"/>
      <c r="C28" s="28"/>
      <c r="D28" s="28"/>
      <c r="E28" s="28"/>
      <c r="F28" s="28"/>
      <c r="G28" s="28"/>
      <c r="H28" s="29">
        <v>4</v>
      </c>
      <c r="I28" s="26" t="s">
        <v>160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>
      <c r="A29" s="30"/>
      <c r="B29" s="27"/>
      <c r="C29" s="18"/>
      <c r="D29" s="18"/>
      <c r="E29" s="18"/>
      <c r="F29" s="18"/>
      <c r="G29" s="18"/>
      <c r="H29" s="29">
        <v>5</v>
      </c>
      <c r="I29" s="26" t="s">
        <v>161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>
      <c r="A30" s="19">
        <v>4</v>
      </c>
      <c r="B30" s="27"/>
      <c r="C30" s="21" t="s">
        <v>47</v>
      </c>
      <c r="D30" s="22" t="s">
        <v>156</v>
      </c>
      <c r="E30" s="23">
        <v>0.25</v>
      </c>
      <c r="F30" s="24"/>
      <c r="G30" s="23"/>
      <c r="H30" s="25">
        <v>1</v>
      </c>
      <c r="I30" s="26" t="s">
        <v>157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>
      <c r="A31" s="27"/>
      <c r="B31" s="27"/>
      <c r="C31" s="28"/>
      <c r="D31" s="28"/>
      <c r="E31" s="28"/>
      <c r="F31" s="28"/>
      <c r="G31" s="28"/>
      <c r="H31" s="29">
        <v>2</v>
      </c>
      <c r="I31" s="26" t="s">
        <v>158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>
      <c r="A32" s="27"/>
      <c r="B32" s="27"/>
      <c r="C32" s="28"/>
      <c r="D32" s="28"/>
      <c r="E32" s="28"/>
      <c r="F32" s="28"/>
      <c r="G32" s="28"/>
      <c r="H32" s="29">
        <v>3</v>
      </c>
      <c r="I32" s="26" t="s">
        <v>159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>
      <c r="A33" s="27"/>
      <c r="B33" s="27"/>
      <c r="C33" s="28"/>
      <c r="D33" s="28"/>
      <c r="E33" s="28"/>
      <c r="F33" s="28"/>
      <c r="G33" s="28"/>
      <c r="H33" s="29">
        <v>4</v>
      </c>
      <c r="I33" s="26" t="s">
        <v>160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>
      <c r="A34" s="30"/>
      <c r="B34" s="30"/>
      <c r="C34" s="18"/>
      <c r="D34" s="18"/>
      <c r="E34" s="18"/>
      <c r="F34" s="18"/>
      <c r="G34" s="18"/>
      <c r="H34" s="29">
        <v>5</v>
      </c>
      <c r="I34" s="26" t="s">
        <v>161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>
      <c r="A35" s="19">
        <v>5</v>
      </c>
      <c r="B35" s="31" t="s">
        <v>163</v>
      </c>
      <c r="C35" s="21" t="s">
        <v>58</v>
      </c>
      <c r="D35" s="22" t="s">
        <v>156</v>
      </c>
      <c r="E35" s="32">
        <v>3</v>
      </c>
      <c r="F35" s="33"/>
      <c r="G35" s="23"/>
      <c r="H35" s="25">
        <v>1</v>
      </c>
      <c r="I35" s="26" t="s">
        <v>164</v>
      </c>
      <c r="J35" s="3"/>
      <c r="K35" s="3"/>
      <c r="L35" s="3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>
      <c r="A36" s="27"/>
      <c r="B36" s="27"/>
      <c r="C36" s="28"/>
      <c r="D36" s="28"/>
      <c r="E36" s="28"/>
      <c r="F36" s="28"/>
      <c r="G36" s="28"/>
      <c r="H36" s="29">
        <v>2</v>
      </c>
      <c r="I36" s="26" t="s">
        <v>165</v>
      </c>
      <c r="J36" s="3"/>
      <c r="K36" s="3"/>
      <c r="L36" s="3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>
      <c r="A37" s="27"/>
      <c r="B37" s="27"/>
      <c r="C37" s="28"/>
      <c r="D37" s="28"/>
      <c r="E37" s="28"/>
      <c r="F37" s="28"/>
      <c r="G37" s="28"/>
      <c r="H37" s="29">
        <v>3</v>
      </c>
      <c r="I37" s="26" t="s">
        <v>166</v>
      </c>
      <c r="J37" s="3"/>
      <c r="K37" s="3"/>
      <c r="L37" s="3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>
      <c r="A38" s="27"/>
      <c r="B38" s="27"/>
      <c r="C38" s="28"/>
      <c r="D38" s="28"/>
      <c r="E38" s="28"/>
      <c r="F38" s="28"/>
      <c r="G38" s="28"/>
      <c r="H38" s="29">
        <v>4</v>
      </c>
      <c r="I38" s="26" t="s">
        <v>167</v>
      </c>
      <c r="J38" s="3"/>
      <c r="K38" s="3"/>
      <c r="L38" s="3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>
      <c r="A39" s="30"/>
      <c r="B39" s="30"/>
      <c r="C39" s="18"/>
      <c r="D39" s="18"/>
      <c r="E39" s="18"/>
      <c r="F39" s="18"/>
      <c r="G39" s="18"/>
      <c r="H39" s="29">
        <v>5</v>
      </c>
      <c r="I39" s="26" t="s">
        <v>168</v>
      </c>
      <c r="J39" s="3"/>
      <c r="K39" s="3"/>
      <c r="L39" s="3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>
      <c r="A40" s="19">
        <v>6</v>
      </c>
      <c r="B40" s="31" t="s">
        <v>169</v>
      </c>
      <c r="C40" s="35" t="s">
        <v>51</v>
      </c>
      <c r="D40" s="36" t="s">
        <v>156</v>
      </c>
      <c r="E40" s="32">
        <v>3</v>
      </c>
      <c r="F40" s="37"/>
      <c r="G40" s="32"/>
      <c r="H40" s="29">
        <v>1</v>
      </c>
      <c r="I40" s="26" t="s">
        <v>157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>
      <c r="A41" s="27"/>
      <c r="B41" s="27"/>
      <c r="C41" s="28"/>
      <c r="D41" s="28"/>
      <c r="E41" s="28"/>
      <c r="F41" s="28"/>
      <c r="G41" s="28"/>
      <c r="H41" s="29">
        <v>2</v>
      </c>
      <c r="I41" s="26" t="s">
        <v>158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>
      <c r="A42" s="27"/>
      <c r="B42" s="27"/>
      <c r="C42" s="28"/>
      <c r="D42" s="28"/>
      <c r="E42" s="28"/>
      <c r="F42" s="28"/>
      <c r="G42" s="28"/>
      <c r="H42" s="29">
        <v>3</v>
      </c>
      <c r="I42" s="26" t="s">
        <v>159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>
      <c r="A43" s="27"/>
      <c r="B43" s="27"/>
      <c r="C43" s="28"/>
      <c r="D43" s="28"/>
      <c r="E43" s="28"/>
      <c r="F43" s="28"/>
      <c r="G43" s="28"/>
      <c r="H43" s="29">
        <v>4</v>
      </c>
      <c r="I43" s="26" t="s">
        <v>160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>
      <c r="A44" s="30"/>
      <c r="B44" s="27"/>
      <c r="C44" s="18"/>
      <c r="D44" s="18"/>
      <c r="E44" s="18"/>
      <c r="F44" s="18"/>
      <c r="G44" s="18"/>
      <c r="H44" s="29">
        <v>5</v>
      </c>
      <c r="I44" s="26" t="s">
        <v>161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>
      <c r="A45" s="19">
        <v>7</v>
      </c>
      <c r="B45" s="27"/>
      <c r="C45" s="35" t="s">
        <v>55</v>
      </c>
      <c r="D45" s="36" t="s">
        <v>156</v>
      </c>
      <c r="E45" s="32">
        <v>3</v>
      </c>
      <c r="F45" s="32"/>
      <c r="G45" s="32"/>
      <c r="H45" s="29">
        <v>1</v>
      </c>
      <c r="I45" s="26" t="s">
        <v>157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>
      <c r="A46" s="27"/>
      <c r="B46" s="27"/>
      <c r="C46" s="28"/>
      <c r="D46" s="28"/>
      <c r="E46" s="28"/>
      <c r="F46" s="28"/>
      <c r="G46" s="28"/>
      <c r="H46" s="29">
        <v>2</v>
      </c>
      <c r="I46" s="26" t="s">
        <v>158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>
      <c r="A47" s="27"/>
      <c r="B47" s="27"/>
      <c r="C47" s="28"/>
      <c r="D47" s="28"/>
      <c r="E47" s="28"/>
      <c r="F47" s="28"/>
      <c r="G47" s="28"/>
      <c r="H47" s="29">
        <v>3</v>
      </c>
      <c r="I47" s="26" t="s">
        <v>159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>
      <c r="A48" s="27"/>
      <c r="B48" s="27"/>
      <c r="C48" s="28"/>
      <c r="D48" s="28"/>
      <c r="E48" s="28"/>
      <c r="F48" s="28"/>
      <c r="G48" s="28"/>
      <c r="H48" s="29">
        <v>4</v>
      </c>
      <c r="I48" s="26" t="s">
        <v>160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21" customHeight="1" spans="1:27">
      <c r="A49" s="30"/>
      <c r="B49" s="30"/>
      <c r="C49" s="18"/>
      <c r="D49" s="18"/>
      <c r="E49" s="18"/>
      <c r="F49" s="18"/>
      <c r="G49" s="18"/>
      <c r="H49" s="29">
        <v>5</v>
      </c>
      <c r="I49" s="26" t="s">
        <v>161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75" spans="1:27">
      <c r="A50" s="38" t="s">
        <v>170</v>
      </c>
      <c r="B50" s="9"/>
      <c r="C50" s="9"/>
      <c r="D50" s="9"/>
      <c r="E50" s="9"/>
      <c r="F50" s="7"/>
      <c r="G50" s="39">
        <f>(E15*G15+E20*G20+E25*G25+E30*G30+E35*G35+E40*G40+E45*G45)/10</f>
        <v>0</v>
      </c>
      <c r="H50" s="40"/>
      <c r="I50" s="40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75" spans="1:2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75" spans="1:27">
      <c r="A52" s="41" t="s">
        <v>171</v>
      </c>
      <c r="B52" s="9"/>
      <c r="C52" s="9"/>
      <c r="D52" s="9"/>
      <c r="E52" s="9"/>
      <c r="F52" s="9"/>
      <c r="G52" s="9"/>
      <c r="H52" s="9"/>
      <c r="I52" s="7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48" customHeight="1" spans="1:27">
      <c r="A53" s="42"/>
      <c r="B53" s="9"/>
      <c r="C53" s="9"/>
      <c r="D53" s="9"/>
      <c r="E53" s="9"/>
      <c r="F53" s="9"/>
      <c r="G53" s="9"/>
      <c r="H53" s="9"/>
      <c r="I53" s="7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75" spans="1:27">
      <c r="A54" s="43" t="s">
        <v>172</v>
      </c>
      <c r="B54" s="9"/>
      <c r="C54" s="9"/>
      <c r="D54" s="9"/>
      <c r="E54" s="9"/>
      <c r="F54" s="9"/>
      <c r="G54" s="9"/>
      <c r="H54" s="9"/>
      <c r="I54" s="7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44.25" customHeight="1" spans="1:27">
      <c r="A55" s="44"/>
      <c r="B55" s="9"/>
      <c r="C55" s="9"/>
      <c r="D55" s="9"/>
      <c r="E55" s="9"/>
      <c r="F55" s="9"/>
      <c r="G55" s="9"/>
      <c r="H55" s="9"/>
      <c r="I55" s="7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75" spans="1:27">
      <c r="A56" s="43" t="s">
        <v>173</v>
      </c>
      <c r="B56" s="9"/>
      <c r="C56" s="9"/>
      <c r="D56" s="9"/>
      <c r="E56" s="9"/>
      <c r="F56" s="9"/>
      <c r="G56" s="9"/>
      <c r="H56" s="9"/>
      <c r="I56" s="7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54.75" customHeight="1" spans="1:27">
      <c r="A57" s="44"/>
      <c r="B57" s="9"/>
      <c r="C57" s="9"/>
      <c r="D57" s="9"/>
      <c r="E57" s="9"/>
      <c r="F57" s="9"/>
      <c r="G57" s="9"/>
      <c r="H57" s="9"/>
      <c r="I57" s="7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75" spans="1:2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75" spans="1:27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75" spans="1:27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75" spans="1:27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75" spans="1:2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75" spans="1:27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2.75" spans="1:27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75" spans="1:27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75" spans="1:27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75" spans="1:2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75" spans="1:27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75" spans="1:27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75" spans="1:27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75" spans="1:27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75" spans="1:27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75" spans="1:27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75" spans="1:27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75" spans="1:27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75" spans="1:27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75" spans="1:2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75" spans="1:27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75" spans="1:27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75" spans="1:27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75" spans="1:27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75" spans="1:27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75" spans="1:27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75" spans="1:27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75" spans="1:27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75" spans="1:27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75" spans="1:2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75" spans="1:27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75" spans="1:2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75" spans="1:2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75" spans="1:2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75" spans="1:27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75" spans="1:27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75" spans="1:27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75" spans="1:27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75" spans="1:27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75" spans="1:2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75" spans="1:27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75" spans="1:27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75" spans="1:27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75" spans="1:27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75" spans="1:27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75" spans="1:27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75" spans="1:27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75" spans="1:27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75" spans="1:27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75" spans="1:2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75" spans="1:27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75" spans="1:27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75" spans="1:27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75" spans="1:27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75" spans="1:27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75" spans="1:27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75" spans="1:27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75" spans="1:27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75" spans="1:27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75" spans="1:2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75" spans="1:27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75" spans="1:27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75" spans="1:27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75" spans="1:27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75" spans="1:27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75" spans="1:27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75" spans="1:27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75" spans="1:27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75" spans="1:27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75" spans="1: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75" spans="1:27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75" spans="1:27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75" spans="1:27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75" spans="1:27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75" spans="1:27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75" spans="1:27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75" spans="1:27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75" spans="1:27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75" spans="1:27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75" spans="1:2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75" spans="1:27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75" spans="1:27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75" spans="1:27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75" spans="1:27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75" spans="1:27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75" spans="1:27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75" spans="1:27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75" spans="1:27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75" spans="1:27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75" spans="1:2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75" spans="1:27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75" spans="1:27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75" spans="1:27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75" spans="1:27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75" spans="1:27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75" spans="1:27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75" spans="1:27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75" spans="1:27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75" spans="1:27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75" spans="1:2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75" spans="1:27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75" spans="1:27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75" spans="1:27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75" spans="1:27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75" spans="1:27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75" spans="1:27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75" spans="1:27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75" spans="1:27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75" spans="1:27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75" spans="1:2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75" spans="1:27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75" spans="1:27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75" spans="1:27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75" spans="1:27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75" spans="1:27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75" spans="1:27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75" spans="1:27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75" spans="1:27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75" spans="1:27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75" spans="1:2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75" spans="1:27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75" spans="1:27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75" spans="1:27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75" spans="1:27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75" spans="1:27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75" spans="1:27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75" spans="1:27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75" spans="1:27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75" spans="1:27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75" spans="1:2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75" spans="1:27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75" spans="1:27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75" spans="1:27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75" spans="1:27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75" spans="1:27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75" spans="1:27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75" spans="1:27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75" spans="1:27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75" spans="1:27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75" spans="1:2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75" spans="1:27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75" spans="1:27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75" spans="1:27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75" spans="1:27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75" spans="1:27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75" spans="1:27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75" spans="1:27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75" spans="1:27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75" spans="1:27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75" spans="1:2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75" spans="1:27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75" spans="1:27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75" spans="1:27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75" spans="1:27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75" spans="1:27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75" spans="1:27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75" spans="1:27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75" spans="1:27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75" spans="1:27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75" spans="1:2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75" spans="1:27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75" spans="1:27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75" spans="1:27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75" spans="1:27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75" spans="1:27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75" spans="1:27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75" spans="1:27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75" spans="1:27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75" spans="1:27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75" spans="1: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75" spans="1:27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75" spans="1:27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75" spans="1:27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75" spans="1:27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75" spans="1:27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75" spans="1:27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75" spans="1:27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75" spans="1:27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75" spans="1:27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75" spans="1:2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75" spans="1:27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75" spans="1:27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75" spans="1:27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75" spans="1:27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75" spans="1:27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75" spans="1:27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75" spans="1:27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75" spans="1:27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75" spans="1:27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75" spans="1:2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75" spans="1:27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75" spans="1:27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75" spans="1:27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75" spans="1:27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75" spans="1:27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75" spans="1:27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75" spans="1:27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75" spans="1:27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75" spans="1:27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75" spans="1:2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75" spans="1:27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75" spans="1:27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75" spans="1:27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75" spans="1:27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75" spans="1:27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75" spans="1:27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75" spans="1:27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75" spans="1:27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75" spans="1:27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75" spans="1:2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75" spans="1:27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75" spans="1:27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75" spans="1:27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75" spans="1:27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75" spans="1:27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75" spans="1:27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75" spans="1:27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75" spans="1:27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75" spans="1:27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75" spans="1:2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75" spans="1:27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75" spans="1:27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75" spans="1:27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75" spans="1:27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75" spans="1:27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75" spans="1:27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75" spans="1:27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75" spans="1:27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75" spans="1:27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75" spans="1:2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75" spans="1:27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75" spans="1:27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75" spans="1:27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75" spans="1:27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75" spans="1:27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75" spans="1:27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75" spans="1:27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75" spans="1:27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75" spans="1:27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75" spans="1:2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75" spans="1:27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75" spans="1:27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75" spans="1:27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75" spans="1:27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75" spans="1:27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75" spans="1:27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75" spans="1:27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75" spans="1:27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75" spans="1:27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75" spans="1:2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75" spans="1:27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75" spans="1:27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75" spans="1:27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75" spans="1:27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75" spans="1:27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75" spans="1:27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75" spans="1:27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75" spans="1:27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75" spans="1:27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75" spans="1:2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75" spans="1:27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75" spans="1:27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75" spans="1:27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75" spans="1:27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75" spans="1:27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75" spans="1:27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75" spans="1:27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75" spans="1:27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75" spans="1:27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75" spans="1: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75" spans="1:27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75" spans="1:27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75" spans="1:27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75" spans="1:27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75" spans="1:27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75" spans="1:27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75" spans="1:27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75" spans="1:27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75" spans="1:27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75" spans="1:2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75" spans="1:27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75" spans="1:27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75" spans="1:27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75" spans="1:27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75" spans="1:27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75" spans="1:27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75" spans="1:27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75" spans="1:27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75" spans="1:27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75" spans="1:2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75" spans="1:27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75" spans="1:27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75" spans="1:27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75" spans="1:27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75" spans="1:27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75" spans="1:27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75" spans="1:27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75" spans="1:27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75" spans="1:27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75" spans="1:2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75" spans="1:27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75" spans="1:27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75" spans="1:27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75" spans="1:27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75" spans="1:27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75" spans="1:27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75" spans="1:27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75" spans="1:27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75" spans="1:27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75" spans="1:2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75" spans="1:27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75" spans="1:27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75" spans="1:27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75" spans="1:27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75" spans="1:27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75" spans="1:27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75" spans="1:27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75" spans="1:27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75" spans="1:27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75" spans="1:2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75" spans="1:27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75" spans="1:27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75" spans="1:27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75" spans="1:27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75" spans="1:27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75" spans="1:27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75" spans="1:27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75" spans="1:27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75" spans="1:27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75" spans="1:2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75" spans="1:27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75" spans="1:27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75" spans="1:27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75" spans="1:27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75" spans="1:27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75" spans="1:27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75" spans="1:27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75" spans="1:27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75" spans="1:27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75" spans="1:2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75" spans="1:27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75" spans="1:27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75" spans="1:27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75" spans="1:27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75" spans="1:27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75" spans="1:27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75" spans="1:27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75" spans="1:27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75" spans="1:27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75" spans="1:2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75" spans="1:27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75" spans="1:27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75" spans="1:27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75" spans="1:27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75" spans="1:27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75" spans="1:27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75" spans="1:27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75" spans="1:27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75" spans="1:27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75" spans="1:2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75" spans="1:27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75" spans="1:27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75" spans="1:27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75" spans="1:27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75" spans="1:27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75" spans="1:27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75" spans="1:27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75" spans="1:27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75" spans="1:27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75" spans="1: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75" spans="1:27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75" spans="1:27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75" spans="1:27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75" spans="1:27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75" spans="1:27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75" spans="1:27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75" spans="1:27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75" spans="1:27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75" spans="1:27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75" spans="1:2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75" spans="1:27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75" spans="1:27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75" spans="1:27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75" spans="1:27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75" spans="1:27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75" spans="1:27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75" spans="1:27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75" spans="1:27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75" spans="1:27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75" spans="1:2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75" spans="1:27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75" spans="1:27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75" spans="1:27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75" spans="1:27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75" spans="1:27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75" spans="1:27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75" spans="1:27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75" spans="1:27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75" spans="1:27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75" spans="1:2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75" spans="1:27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75" spans="1:27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75" spans="1:27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75" spans="1:27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75" spans="1:27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75" spans="1:27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75" spans="1:27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75" spans="1:27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75" spans="1:27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75" spans="1:2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75" spans="1:27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75" spans="1:27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75" spans="1:27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75" spans="1:27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75" spans="1:27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75" spans="1:27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75" spans="1:27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75" spans="1:27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75" spans="1:27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75" spans="1:2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75" spans="1:27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75" spans="1:27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75" spans="1:27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75" spans="1:27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75" spans="1:27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75" spans="1:27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75" spans="1:27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75" spans="1:27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75" spans="1:27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75" spans="1:2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75" spans="1:27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75" spans="1:27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75" spans="1:27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75" spans="1:27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75" spans="1:27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75" spans="1:27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75" spans="1:27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75" spans="1:27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75" spans="1:27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75" spans="1:2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75" spans="1:27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75" spans="1:27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75" spans="1:27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75" spans="1:27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75" spans="1:27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75" spans="1:27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75" spans="1:27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75" spans="1:27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75" spans="1:27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75" spans="1:2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75" spans="1:27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75" spans="1:27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75" spans="1:27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75" spans="1:27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75" spans="1:27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75" spans="1:27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75" spans="1:27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75" spans="1:27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75" spans="1:27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75" spans="1:2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75" spans="1:27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75" spans="1:27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75" spans="1:27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75" spans="1:27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75" spans="1:27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75" spans="1:27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75" spans="1:27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75" spans="1:27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75" spans="1:27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75" spans="1: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75" spans="1:27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75" spans="1:27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75" spans="1:27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75" spans="1:27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75" spans="1:27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75" spans="1:27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75" spans="1:27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75" spans="1:27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75" spans="1:27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75" spans="1:2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75" spans="1:27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75" spans="1:27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75" spans="1:27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75" spans="1:27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75" spans="1:27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75" spans="1:27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75" spans="1:27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75" spans="1:27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75" spans="1:27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75" spans="1:2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75" spans="1:27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75" spans="1:27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75" spans="1:27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75" spans="1:27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75" spans="1:27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75" spans="1:27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75" spans="1:27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75" spans="1:27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75" spans="1:27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75" spans="1:2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75" spans="1:27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75" spans="1:27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75" spans="1:27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75" spans="1:27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75" spans="1:27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75" spans="1:27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75" spans="1:27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75" spans="1:27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75" spans="1:27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75" spans="1:2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75" spans="1:27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75" spans="1:27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75" spans="1:27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75" spans="1:27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75" spans="1:27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75" spans="1:27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75" spans="1:27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75" spans="1:27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75" spans="1:27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75" spans="1:2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75" spans="1:27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75" spans="1:27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75" spans="1:27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75" spans="1:27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75" spans="1:27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75" spans="1:27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75" spans="1:27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75" spans="1:27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75" spans="1:27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75" spans="1:2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75" spans="1:27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75" spans="1:27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75" spans="1:27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75" spans="1:27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75" spans="1:27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75" spans="1:27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75" spans="1:27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75" spans="1:27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75" spans="1:27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75" spans="1:2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75" spans="1:27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75" spans="1:27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75" spans="1:27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75" spans="1:27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75" spans="1:27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75" spans="1:27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75" spans="1:27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75" spans="1:27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75" spans="1:27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75" spans="1:2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75" spans="1:27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75" spans="1:27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75" spans="1:27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75" spans="1:27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75" spans="1:27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75" spans="1:27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75" spans="1:27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75" spans="1:27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75" spans="1:27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75" spans="1:2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75" spans="1:27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75" spans="1:27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75" spans="1:27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75" spans="1:27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75" spans="1:27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75" spans="1:27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75" spans="1:27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75" spans="1:27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75" spans="1:27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75" spans="1: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75" spans="1:27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75" spans="1:27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75" spans="1:27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75" spans="1:27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75" spans="1:27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75" spans="1:27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75" spans="1:27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75" spans="1:27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75" spans="1:27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75" spans="1:2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75" spans="1:27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75" spans="1:27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75" spans="1:27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75" spans="1:27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75" spans="1:27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75" spans="1:27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75" spans="1:27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75" spans="1:27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75" spans="1:27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75" spans="1:2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75" spans="1:27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75" spans="1:27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75" spans="1:27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75" spans="1:27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75" spans="1:27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75" spans="1:27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75" spans="1:27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75" spans="1:27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75" spans="1:27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75" spans="1:2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75" spans="1:27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75" spans="1:27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75" spans="1:27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75" spans="1:27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75" spans="1:27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75" spans="1:27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75" spans="1:27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75" spans="1:27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75" spans="1:27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75" spans="1:2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75" spans="1:27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75" spans="1:27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75" spans="1:27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75" spans="1:27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75" spans="1:27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75" spans="1:27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75" spans="1:27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75" spans="1:27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75" spans="1:27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75" spans="1:2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75" spans="1:27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75" spans="1:27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75" spans="1:27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75" spans="1:27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75" spans="1:27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75" spans="1:27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75" spans="1:27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75" spans="1:27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75" spans="1:27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75" spans="1:2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75" spans="1:27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75" spans="1:27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75" spans="1:27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75" spans="1:27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75" spans="1:27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75" spans="1:27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75" spans="1:27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75" spans="1:27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75" spans="1:27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75" spans="1:2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75" spans="1:27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75" spans="1:27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75" spans="1:27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75" spans="1:27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75" spans="1:27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75" spans="1:27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75" spans="1:27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75" spans="1:27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75" spans="1:27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75" spans="1:2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75" spans="1:27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75" spans="1:27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75" spans="1:27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75" spans="1:27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75" spans="1:27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75" spans="1:27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75" spans="1:27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75" spans="1:27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75" spans="1:27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75" spans="1:2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75" spans="1:27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75" spans="1:27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75" spans="1:27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75" spans="1:27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75" spans="1:27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75" spans="1:27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75" spans="1:27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75" spans="1:27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75" spans="1:27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75" spans="1: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75" spans="1:27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75" spans="1:27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75" spans="1:27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75" spans="1:27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75" spans="1:27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75" spans="1:27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75" spans="1:27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75" spans="1:27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75" spans="1:27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75" spans="1:2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75" spans="1:27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75" spans="1:27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75" spans="1:27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75" spans="1:27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75" spans="1:27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75" spans="1:27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75" spans="1:27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75" spans="1:27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75" spans="1:27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75" spans="1:2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75" spans="1:27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75" spans="1:27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75" spans="1:27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75" spans="1:27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75" spans="1:27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75" spans="1:27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75" spans="1:27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75" spans="1:27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75" spans="1:27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75" spans="1:2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75" spans="1:27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75" spans="1:27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75" spans="1:27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75" spans="1:27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75" spans="1:27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75" spans="1:27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75" spans="1:27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75" spans="1:27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75" spans="1:27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75" spans="1:2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75" spans="1:27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75" spans="1:27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75" spans="1:27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75" spans="1:27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75" spans="1:27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75" spans="1:27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75" spans="1:27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75" spans="1:27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75" spans="1:27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75" spans="1:2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75" spans="1:27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75" spans="1:27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75" spans="1:27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75" spans="1:27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75" spans="1:27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75" spans="1:27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75" spans="1:27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75" spans="1:27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75" spans="1:27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75" spans="1:2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75" spans="1:27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75" spans="1:27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75" spans="1:27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75" spans="1:27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75" spans="1:27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75" spans="1:27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75" spans="1:27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75" spans="1:27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75" spans="1:27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75" spans="1:2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75" spans="1:27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75" spans="1:27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75" spans="1:27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75" spans="1:27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75" spans="1:27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75" spans="1:27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75" spans="1:27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75" spans="1:27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75" spans="1:27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75" spans="1:2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75" spans="1:27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75" spans="1:27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75" spans="1:27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75" spans="1:27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75" spans="1:27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75" spans="1:27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75" spans="1:27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75" spans="1:27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75" spans="1:27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75" spans="1:2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75" spans="1:27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75" spans="1:27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75" spans="1:27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75" spans="1:27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75" spans="1:27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75" spans="1:27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75" spans="1:27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75" spans="1:27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75" spans="1:27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75" spans="1: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75" spans="1:27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75" spans="1:27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75" spans="1:27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75" spans="1:27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75" spans="1:27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75" spans="1:27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75" spans="1:27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75" spans="1:27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75" spans="1:27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75" spans="1:2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75" spans="1:27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75" spans="1:27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75" spans="1:27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75" spans="1:27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75" spans="1:27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75" spans="1:27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75" spans="1:27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75" spans="1:27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75" spans="1:27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75" spans="1:2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75" spans="1:27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75" spans="1:27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75" spans="1:27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75" spans="1:27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75" spans="1:27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75" spans="1:27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75" spans="1:27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75" spans="1:27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75" spans="1:27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75" spans="1:2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75" spans="1:27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75" spans="1:27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75" spans="1:27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75" spans="1:27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75" spans="1:27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75" spans="1:27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75" spans="1:27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75" spans="1:27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75" spans="1:27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75" spans="1:2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75" spans="1:27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75" spans="1:27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75" spans="1:27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75" spans="1:27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75" spans="1:27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75" spans="1:27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75" spans="1:27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75" spans="1:27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75" spans="1:27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75" spans="1:2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75" spans="1:27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75" spans="1:27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75" spans="1:27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75" spans="1:27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75" spans="1:27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75" spans="1:27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75" spans="1:27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75" spans="1:27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75" spans="1:27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75" spans="1:2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75" spans="1:27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75" spans="1:27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75" spans="1:27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75" spans="1:27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75" spans="1:27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75" spans="1:27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75" spans="1:27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75" spans="1:27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75" spans="1:27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75" spans="1:2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75" spans="1:27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75" spans="1:27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75" spans="1:27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75" spans="1:27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75" spans="1:27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75" spans="1:27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75" spans="1:27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75" spans="1:27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75" spans="1:27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75" spans="1:2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75" spans="1:27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75" spans="1:27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75" spans="1:27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75" spans="1:27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75" spans="1:27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75" spans="1:27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75" spans="1:27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75" spans="1:27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75" spans="1:27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75" spans="1:2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75" spans="1:27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75" spans="1:27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75" spans="1:27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75" spans="1:27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75" spans="1:27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75" spans="1:27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75" spans="1:27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75" spans="1:27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75" spans="1:27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75" spans="1: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75" spans="1:27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75" spans="1:27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75" spans="1:27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75" spans="1:27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75" spans="1:27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75" spans="1:27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75" spans="1:27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75" spans="1:27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75" spans="1:27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75" spans="1:2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75" spans="1:27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75" spans="1:27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75" spans="1:27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75" spans="1:27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75" spans="1:27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75" spans="1:27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75" spans="1:27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75" spans="1:27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75" spans="1:27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75" spans="1:2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75" spans="1:27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75" spans="1:27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75" spans="1:27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75" spans="1:27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75" spans="1:27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75" spans="1:27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75" spans="1:27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75" spans="1:27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75" spans="1:27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75" spans="1:2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75" spans="1:27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75" spans="1:27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75" spans="1:27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75" spans="1:27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75" spans="1:27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75" spans="1:27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75" spans="1:27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75" spans="1:27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75" spans="1:27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75" spans="1:2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75" spans="1:27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75" spans="1:27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75" spans="1:27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75" spans="1:27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75" spans="1:27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75" spans="1:27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75" spans="1:27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75" spans="1:27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75" spans="1:27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75" spans="1:2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75" spans="1:27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75" spans="1:27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75" spans="1:27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75" spans="1:27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75" spans="1:27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</sheetData>
  <mergeCells count="66">
    <mergeCell ref="A1:J1"/>
    <mergeCell ref="A6:B6"/>
    <mergeCell ref="D6:G6"/>
    <mergeCell ref="A7:B7"/>
    <mergeCell ref="D7:G7"/>
    <mergeCell ref="A8:B8"/>
    <mergeCell ref="D8:G8"/>
    <mergeCell ref="A9:B9"/>
    <mergeCell ref="D9:G9"/>
    <mergeCell ref="A10:B10"/>
    <mergeCell ref="D10:G10"/>
    <mergeCell ref="A11:B11"/>
    <mergeCell ref="D11:G11"/>
    <mergeCell ref="H14:I14"/>
    <mergeCell ref="A50:F50"/>
    <mergeCell ref="A52:I52"/>
    <mergeCell ref="A53:I53"/>
    <mergeCell ref="A54:I54"/>
    <mergeCell ref="A55:I55"/>
    <mergeCell ref="A56:I56"/>
    <mergeCell ref="A57:I57"/>
    <mergeCell ref="A15:A19"/>
    <mergeCell ref="A20:A24"/>
    <mergeCell ref="A25:A29"/>
    <mergeCell ref="A30:A34"/>
    <mergeCell ref="A35:A39"/>
    <mergeCell ref="A40:A44"/>
    <mergeCell ref="A45:A49"/>
    <mergeCell ref="B15:B34"/>
    <mergeCell ref="B35:B39"/>
    <mergeCell ref="B40:B49"/>
    <mergeCell ref="C15:C19"/>
    <mergeCell ref="C20:C24"/>
    <mergeCell ref="C25:C29"/>
    <mergeCell ref="C30:C34"/>
    <mergeCell ref="C35:C39"/>
    <mergeCell ref="C40:C44"/>
    <mergeCell ref="C45:C49"/>
    <mergeCell ref="D15:D19"/>
    <mergeCell ref="D20:D24"/>
    <mergeCell ref="D25:D29"/>
    <mergeCell ref="D30:D34"/>
    <mergeCell ref="D35:D39"/>
    <mergeCell ref="D40:D44"/>
    <mergeCell ref="D45:D49"/>
    <mergeCell ref="E15:E19"/>
    <mergeCell ref="E20:E24"/>
    <mergeCell ref="E25:E29"/>
    <mergeCell ref="E30:E34"/>
    <mergeCell ref="E35:E39"/>
    <mergeCell ref="E40:E44"/>
    <mergeCell ref="E45:E49"/>
    <mergeCell ref="F15:F19"/>
    <mergeCell ref="F20:F24"/>
    <mergeCell ref="F25:F29"/>
    <mergeCell ref="F30:F34"/>
    <mergeCell ref="F35:F39"/>
    <mergeCell ref="F40:F44"/>
    <mergeCell ref="F45:F49"/>
    <mergeCell ref="G15:G19"/>
    <mergeCell ref="G20:G24"/>
    <mergeCell ref="G25:G29"/>
    <mergeCell ref="G30:G34"/>
    <mergeCell ref="G35:G39"/>
    <mergeCell ref="G40:G44"/>
    <mergeCell ref="G45:G4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Báo cáo công việc</vt:lpstr>
      <vt:lpstr>Chấm điểm KPI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</cp:lastModifiedBy>
  <dcterms:created xsi:type="dcterms:W3CDTF">2025-05-10T01:27:00Z</dcterms:created>
  <dcterms:modified xsi:type="dcterms:W3CDTF">2026-09-29T18:06:48Z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915225C98B2C4B3B814CCA7F6A601E28_13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